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1c9973b7b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TION" sheetId="1" r:id="Reac449f1eefe420e"/>
    <x:sheet xmlns:r="http://schemas.openxmlformats.org/officeDocument/2006/relationships" name="MOD-FE" sheetId="2" r:id="R7ffbfa9473e44ff4"/>
    <x:sheet xmlns:r="http://schemas.openxmlformats.org/officeDocument/2006/relationships" name="MOD-BE" sheetId="3" r:id="R4e07e5024a5a4c77"/>
    <x:sheet xmlns:r="http://schemas.openxmlformats.org/officeDocument/2006/relationships" name="MOD-DB" sheetId="4" r:id="Ra2f78fdca28e4f48"/>
    <x:sheet xmlns:r="http://schemas.openxmlformats.org/officeDocument/2006/relationships" name="MOD-ANA" sheetId="5" r:id="Reb46cf5210c04e84"/>
    <x:sheet xmlns:r="http://schemas.openxmlformats.org/officeDocument/2006/relationships" name="CORE" sheetId="6" r:id="R5822185a50eb406c"/>
    <x:sheet xmlns:r="http://schemas.openxmlformats.org/officeDocument/2006/relationships" name="MANUSCRIPT" sheetId="7" r:id="R0d0c7a5deab04f2b"/>
    <x:sheet xmlns:r="http://schemas.openxmlformats.org/officeDocument/2006/relationships" name="README" sheetId="8" r:id="R48a5d66dbb10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2" fillId="6" borderId="0" xfId="0" applyNumberFormat="1" applyFont="1" applyFill="1" applyBorder="1"/>
    <x:xf numFmtId="200" fontId="2" fillId="6" borderId="0" xfId="0" applyNumberFormat="1" applyFont="1" applyFill="1" applyBorder="1"/>
    <x:xf numFmtId="0" fontId="2" fillId="6" borderId="1" xfId="0" applyNumberFormat="1" applyFont="1" applyFill="1" applyBorder="1"/>
    <x:xf numFmtId="20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200" fontId="2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1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6" borderId="1" xfId="0" applyNumberFormat="1" applyFont="1" applyFill="1" applyBorder="1" applyAlignment="1">
      <x:alignment vertical="top" wrapText="1"/>
    </x:xf>
    <x:xf numFmtId="200" fontId="2" fillId="6" borderId="1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b66d0cdae4a58" /><Relationship Type="http://schemas.openxmlformats.org/officeDocument/2006/relationships/theme" Target="/xl/theme/theme1.xml" Id="R9163fda8830f466f" /><Relationship Type="http://schemas.microsoft.com/office/2022/11/relationships/FeaturePropertyBag" Target="/xl/featurePropertyBag/featurePropertyBag.xml" Id="R2497457d3ccd4c2b" /><Relationship Type="http://schemas.openxmlformats.org/officeDocument/2006/relationships/sharedStrings" Target="/xl/sharedStrings.xml" Id="Rb09d293645ef4ece" /><Relationship Type="http://schemas.openxmlformats.org/officeDocument/2006/relationships/worksheet" Target="/xl/worksheets/sheet1.xml" Id="Reac449f1eefe420e" /><Relationship Type="http://schemas.openxmlformats.org/officeDocument/2006/relationships/worksheet" Target="/xl/worksheets/sheet2.xml" Id="R7ffbfa9473e44ff4" /><Relationship Type="http://schemas.openxmlformats.org/officeDocument/2006/relationships/worksheet" Target="/xl/worksheets/sheet3.xml" Id="R4e07e5024a5a4c77" /><Relationship Type="http://schemas.openxmlformats.org/officeDocument/2006/relationships/worksheet" Target="/xl/worksheets/sheet4.xml" Id="Ra2f78fdca28e4f48" /><Relationship Type="http://schemas.openxmlformats.org/officeDocument/2006/relationships/worksheet" Target="/xl/worksheets/sheet5.xml" Id="Reb46cf5210c04e84" /><Relationship Type="http://schemas.openxmlformats.org/officeDocument/2006/relationships/worksheet" Target="/xl/worksheets/sheet6.xml" Id="R5822185a50eb406c" /><Relationship Type="http://schemas.openxmlformats.org/officeDocument/2006/relationships/worksheet" Target="/xl/worksheets/sheet7.xml" Id="R0d0c7a5deab04f2b" /><Relationship Type="http://schemas.openxmlformats.org/officeDocument/2006/relationships/worksheet" Target="/xl/worksheets/sheet8.xml" Id="R48a5d66dbb104c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.25" hidden="0" customWidth="1"/>
    <x:col min="3" max="3" width="41.25" hidden="0" customWidth="1"/>
    <x:col min="4" max="4" width="20" hidden="0" customWidth="1"/>
    <x:col min="5" max="5" width="20" hidden="0" customWidth="1"/>
  </x:cols>
  <x:sheetData>
    <x:row r="2">
      <x:c r="B2" s="4" t="str">
        <x:v>Module Code</x:v>
      </x:c>
      <x:c r="C2" s="4" t="str">
        <x:v>Module Description</x:v>
      </x:c>
      <x:c r="D2" s="4" t="str">
        <x:v>System Weight Allocation</x:v>
      </x:c>
      <x:c r="E2" s="4" t="str">
        <x:v>Actual Accomplishment</x:v>
      </x:c>
    </x:row>
    <x:row r="3">
      <x:c r="B3" s="16" t="str">
        <x:v>MOD-FE</x:v>
      </x:c>
      <x:c r="C3" s="16" t="str">
        <x:v>Frontend User Interface</x:v>
      </x:c>
      <x:c r="D3" s="18" t="n">
        <x:v>0.245</x:v>
      </x:c>
      <x:c r="E3" s="18" t="n">
        <x:f>'MOD-FE'!F32</x:f>
        <x:v>0</x:v>
      </x:c>
    </x:row>
    <x:row r="4">
      <x:c r="B4" s="16" t="str">
        <x:v>MOD-BE</x:v>
      </x:c>
      <x:c r="C4" s="16" t="str">
        <x:v>Backend and API Services</x:v>
      </x:c>
      <x:c r="D4" s="18" t="n">
        <x:v>0.235</x:v>
      </x:c>
      <x:c r="E4" s="18" t="n">
        <x:f>'MOD-BE'!F32</x:f>
        <x:v>0</x:v>
      </x:c>
    </x:row>
    <x:row r="5">
      <x:c r="B5" s="16" t="str">
        <x:v>MOD-DB</x:v>
      </x:c>
      <x:c r="C5" s="16" t="str">
        <x:v>Database and Data Processing</x:v>
      </x:c>
      <x:c r="D5" s="18" t="n">
        <x:v>0.08</x:v>
      </x:c>
      <x:c r="E5" s="18" t="n">
        <x:f>'MOD-DB'!F22</x:f>
        <x:v>0</x:v>
      </x:c>
    </x:row>
    <x:row r="6">
      <x:c r="B6" s="16" t="str">
        <x:v>MOD-ANA</x:v>
      </x:c>
      <x:c r="C6" s="16" t="str">
        <x:v>Analytics, Models, and Simulation</x:v>
      </x:c>
      <x:c r="D6" s="18" t="n">
        <x:v>0.285</x:v>
      </x:c>
      <x:c r="E6" s="18" t="n">
        <x:f>'MOD-ANA'!F32</x:f>
        <x:v>0</x:v>
      </x:c>
    </x:row>
    <x:row r="7">
      <x:c r="B7" s="16" t="str">
        <x:v>CORE</x:v>
      </x:c>
      <x:c r="C7" s="16" t="str">
        <x:v>Deployment, Repository, and Project Management</x:v>
      </x:c>
      <x:c r="D7" s="18" t="n">
        <x:v>0.055</x:v>
      </x:c>
      <x:c r="E7" s="18" t="n">
        <x:f>'CORE'!F32</x:f>
        <x:v>0</x:v>
      </x:c>
    </x:row>
    <x:row r="8">
      <x:c r="B8" s="16" t="str">
        <x:v>MANUSCRIPT</x:v>
      </x:c>
      <x:c r="C8" s="16" t="str">
        <x:v>Manuscript and Documentation</x:v>
      </x:c>
      <x:c r="D8" s="18" t="n">
        <x:v>0.1</x:v>
      </x:c>
      <x:c r="E8" s="18" t="n">
        <x:f>'MANUSCRIPT'!F22</x:f>
        <x:v>0</x:v>
      </x:c>
    </x:row>
    <x:row r="9">
      <x:c r="B9" s="26" t="str">
        <x:v>TOTAL</x:v>
      </x:c>
      <x:c r="C9" s="26" t="str">
        <x:v>Entire Project Scope</x:v>
      </x:c>
      <x:c r="D9" s="27" t="n">
        <x:f>SUM(D3:D8)</x:f>
        <x:v>1</x:v>
      </x:c>
      <x:c r="E9" s="27" t="n">
        <x:f>SUM(E3:E8)</x:f>
        <x:v>0</x:v>
      </x:c>
    </x:row>
    <x:row r="12">
      <x:c r="B12" s="8" t="str">
        <x:v>Task ID</x:v>
      </x:c>
      <x:c r="C12" s="8" t="str">
        <x:v>Task Name</x:v>
      </x:c>
      <x:c r="D12" s="8" t="str">
        <x:v>Task Weight Allocation</x:v>
      </x:c>
      <x:c r="E12" s="8" t="str">
        <x:v>Actual Task Accomplishment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9.3799991607666" hidden="0" customWidth="1"/>
    <x:col min="3" max="3" width="52.5" hidden="0" customWidth="1"/>
    <x:col min="4" max="4" width="45" hidden="0" customWidth="1"/>
    <x:col min="5" max="5" width="14.75" hidden="0" customWidth="1"/>
    <x:col min="6" max="6" width="13.130000114440918" hidden="0" customWidth="1"/>
    <x:col min="7" max="7" width="23.75" hidden="0" customWidth="1"/>
  </x:cols>
  <x:sheetData>
    <x:row r="1" ht="21" customHeight="1">
      <x:c r="A1" s="37" t="str">
        <x:v>Task ID</x:v>
      </x:c>
      <x:c r="B1" s="37" t="str">
        <x:v>AUTH</x:v>
      </x:c>
      <x:c r="C1" s="37" t="str">
        <x:v>Task Name</x:v>
      </x:c>
      <x:c r="D1" s="37" t="str">
        <x:v>Authentication and Session UI</x:v>
      </x:c>
      <x:c r="E1" s="37" t="str"/>
      <x:c r="F1" s="37" t="str"/>
      <x:c r="G1" s="37" t="str"/>
    </x:row>
    <x:row r="2">
      <x:c r="A2" s="38" t="str">
        <x:v>Subtask ID</x:v>
      </x:c>
      <x:c r="B2" s="38" t="str">
        <x:v>Subtask Name</x:v>
      </x:c>
      <x:c r="C2" s="38" t="str">
        <x:v>Acceptance Criteria</x:v>
      </x:c>
      <x:c r="D2" s="38" t="str">
        <x:v>Evidence / Deliverable</x:v>
      </x:c>
      <x:c r="E2" s="38" t="str">
        <x:v>Weight Allocation</x:v>
      </x:c>
      <x:c r="F2" s="38" t="str">
        <x:v>Status</x:v>
      </x:c>
      <x:c r="G2" s="38" t="str">
        <x:v>Remarks</x:v>
      </x:c>
    </x:row>
    <x:row r="3">
      <x:c r="A3" s="39" t="str">
        <x:v>AUTH-01</x:v>
      </x:c>
      <x:c r="B3" s="39" t="str">
        <x:v>Define requirements</x:v>
      </x:c>
      <x:c r="C3" s="39" t="str">
        <x:v>Given the approved project scope, requirements should be specific, measurable, and traceable to the system objectives.</x:v>
      </x:c>
      <x:c r="D3" s="39" t="str">
        <x:v>Requirements matrix or signed-off checklist</x:v>
      </x:c>
      <x:c r="E3" s="40" t="n">
        <x:v>0.01361111111111111</x:v>
      </x:c>
      <x:c r="F3" s="41" t="b">
        <x:v>0</x:v>
      </x:c>
      <x:c r="G3" s="39" t="str"/>
    </x:row>
    <x:row r="4">
      <x:c r="A4" s="39" t="str">
        <x:v>AUTH-02</x:v>
      </x:c>
      <x:c r="B4" s="39" t="str">
        <x:v>Design solution</x:v>
      </x:c>
      <x:c r="C4" s="39" t="str">
        <x:v>Given the requirement set, the design should describe the expected user flow, data flow, or technical behavior.</x:v>
      </x:c>
      <x:c r="D4" s="39" t="str">
        <x:v>Wireframe, diagram, ERD, API contract, or design note</x:v>
      </x:c>
      <x:c r="E4" s="40" t="n">
        <x:v>0.01361111111111111</x:v>
      </x:c>
      <x:c r="F4" s="41" t="b">
        <x:v>0</x:v>
      </x:c>
      <x:c r="G4" s="39" t="str"/>
    </x:row>
    <x:row r="5">
      <x:c r="A5" s="39" t="str">
        <x:v>AUTH-03</x:v>
      </x:c>
      <x:c r="B5" s="39" t="str">
        <x:v>Implement feature</x:v>
      </x:c>
      <x:c r="C5" s="39" t="str">
        <x:v>Given the approved design, the feature should work in the target environment and handle expected inputs.</x:v>
      </x:c>
      <x:c r="D5" s="39" t="str">
        <x:v>Committed implementation, deployment link, or working demo</x:v>
      </x:c>
      <x:c r="E5" s="40" t="n">
        <x:v>0.01361111111111111</x:v>
      </x:c>
      <x:c r="F5" s="41" t="b">
        <x:v>0</x:v>
      </x:c>
      <x:c r="G5" s="39" t="str"/>
    </x:row>
    <x:row r="6">
      <x:c r="A6" s="39" t="str">
        <x:v>AUTH-04</x:v>
      </x:c>
      <x:c r="B6" s="39" t="str">
        <x:v>Test expected behavior</x:v>
      </x:c>
      <x:c r="C6" s="39" t="str">
        <x:v>Given valid and invalid scenarios, the feature should pass documented functional and edge-case checks.</x:v>
      </x:c>
      <x:c r="D6" s="39" t="str">
        <x:v>Test cases, screenshots, QA log, or automated test output</x:v>
      </x:c>
      <x:c r="E6" s="40" t="n">
        <x:v>0.01361111111111111</x:v>
      </x:c>
      <x:c r="F6" s="41" t="b">
        <x:v>0</x:v>
      </x:c>
      <x:c r="G6" s="39" t="str"/>
    </x:row>
    <x:row r="7">
      <x:c r="A7" s="39" t="str">
        <x:v>AUTH-05</x:v>
      </x:c>
      <x:c r="B7" s="39" t="str">
        <x:v>Resolve issues</x:v>
      </x:c>
      <x:c r="C7" s="39" t="str">
        <x:v>Given defects found during testing, all critical issues should be fixed and rechecked.</x:v>
      </x:c>
      <x:c r="D7" s="39" t="str">
        <x:v>Resolved issue list and retest evidence</x:v>
      </x:c>
      <x:c r="E7" s="40" t="n">
        <x:v>0.01361111111111111</x:v>
      </x:c>
      <x:c r="F7" s="41" t="b">
        <x:v>0</x:v>
      </x:c>
      <x:c r="G7" s="39" t="str"/>
    </x:row>
    <x:row r="8">
      <x:c r="A8" s="39" t="str">
        <x:v>AUTH-06</x:v>
      </x:c>
      <x:c r="B8" s="39" t="str">
        <x:v>Document work</x:v>
      </x:c>
      <x:c r="C8" s="39" t="str">
        <x:v>Given the completed work, the manuscript should explain the implementation, validation, and results clearly.</x:v>
      </x:c>
      <x:c r="D8" s="39" t="str">
        <x:v>Updated chapter, appendix, or technical documentation</x:v>
      </x:c>
      <x:c r="E8" s="40" t="n">
        <x:v>0.01361111111111111</x:v>
      </x:c>
      <x:c r="F8" s="41" t="b">
        <x:v>0</x:v>
      </x:c>
      <x:c r="G8" s="39" t="str"/>
    </x:row>
    <x:row r="9">
      <x:c r="A9" s="42" t="str">
        <x:v>Total Accomplished</x:v>
      </x:c>
      <x:c r="B9" s="42" t="str"/>
      <x:c r="C9" s="42" t="str"/>
      <x:c r="D9" s="42" t="str"/>
      <x:c r="E9" s="43" t="n">
        <x:f>SUM(E3:E8)</x:f>
        <x:v>0.08166666666666667</x:v>
      </x:c>
      <x:c r="F9" s="43" t="n">
        <x:f>SUMIF(F3:F8, TRUE, E3:E8)</x:f>
        <x:v>0</x:v>
      </x:c>
      <x:c r="G9" s="42" t="str"/>
    </x:row>
    <x:row r="10">
      <x:c r="A10" s="44"/>
      <x:c r="B10" s="44"/>
      <x:c r="C10" s="44"/>
      <x:c r="D10" s="44"/>
      <x:c r="E10" s="44"/>
      <x:c r="F10" s="44"/>
      <x:c r="G10" s="44"/>
    </x:row>
    <x:row r="11" ht="21" customHeight="1">
      <x:c r="A11" s="37" t="str">
        <x:v>Task ID</x:v>
      </x:c>
      <x:c r="B11" s="37" t="str">
        <x:v>DASH</x:v>
      </x:c>
      <x:c r="C11" s="37" t="str">
        <x:v>Task Name</x:v>
      </x:c>
      <x:c r="D11" s="37" t="str">
        <x:v>Dashboard and Navigation</x:v>
      </x:c>
      <x:c r="E11" s="37" t="str"/>
      <x:c r="F11" s="37" t="str"/>
      <x:c r="G11" s="37" t="str"/>
    </x:row>
    <x:row r="12">
      <x:c r="A12" s="38" t="str">
        <x:v>Subtask ID</x:v>
      </x:c>
      <x:c r="B12" s="38" t="str">
        <x:v>Subtask Name</x:v>
      </x:c>
      <x:c r="C12" s="38" t="str">
        <x:v>Acceptance Criteria</x:v>
      </x:c>
      <x:c r="D12" s="38" t="str">
        <x:v>Evidence / Deliverable</x:v>
      </x:c>
      <x:c r="E12" s="38" t="str">
        <x:v>Weight Allocation</x:v>
      </x:c>
      <x:c r="F12" s="38" t="str">
        <x:v>Status</x:v>
      </x:c>
      <x:c r="G12" s="38" t="str">
        <x:v>Remarks</x:v>
      </x:c>
    </x:row>
    <x:row r="13">
      <x:c r="A13" s="39" t="str">
        <x:v>DASH-01</x:v>
      </x:c>
      <x:c r="B13" s="39" t="str">
        <x:v>Define requirements</x:v>
      </x:c>
      <x:c r="C13" s="39" t="str">
        <x:v>Given the approved project scope, requirements should be specific, measurable, and traceable to the system objectives.</x:v>
      </x:c>
      <x:c r="D13" s="39" t="str">
        <x:v>Requirements matrix or signed-off checklist</x:v>
      </x:c>
      <x:c r="E13" s="40" t="n">
        <x:v>0.01361111111111111</x:v>
      </x:c>
      <x:c r="F13" s="41" t="b">
        <x:v>0</x:v>
      </x:c>
      <x:c r="G13" s="39" t="str"/>
    </x:row>
    <x:row r="14">
      <x:c r="A14" s="39" t="str">
        <x:v>DASH-02</x:v>
      </x:c>
      <x:c r="B14" s="39" t="str">
        <x:v>Design solution</x:v>
      </x:c>
      <x:c r="C14" s="39" t="str">
        <x:v>Given the requirement set, the design should describe the expected user flow, data flow, or technical behavior.</x:v>
      </x:c>
      <x:c r="D14" s="39" t="str">
        <x:v>Wireframe, diagram, ERD, API contract, or design note</x:v>
      </x:c>
      <x:c r="E14" s="40" t="n">
        <x:v>0.01361111111111111</x:v>
      </x:c>
      <x:c r="F14" s="41" t="b">
        <x:v>0</x:v>
      </x:c>
      <x:c r="G14" s="39" t="str"/>
    </x:row>
    <x:row r="15">
      <x:c r="A15" s="39" t="str">
        <x:v>DASH-03</x:v>
      </x:c>
      <x:c r="B15" s="39" t="str">
        <x:v>Implement feature</x:v>
      </x:c>
      <x:c r="C15" s="39" t="str">
        <x:v>Given the approved design, the feature should work in the target environment and handle expected inputs.</x:v>
      </x:c>
      <x:c r="D15" s="39" t="str">
        <x:v>Committed implementation, deployment link, or working demo</x:v>
      </x:c>
      <x:c r="E15" s="40" t="n">
        <x:v>0.01361111111111111</x:v>
      </x:c>
      <x:c r="F15" s="41" t="b">
        <x:v>0</x:v>
      </x:c>
      <x:c r="G15" s="39" t="str"/>
    </x:row>
    <x:row r="16">
      <x:c r="A16" s="39" t="str">
        <x:v>DASH-04</x:v>
      </x:c>
      <x:c r="B16" s="39" t="str">
        <x:v>Test expected behavior</x:v>
      </x:c>
      <x:c r="C16" s="39" t="str">
        <x:v>Given valid and invalid scenarios, the feature should pass documented functional and edge-case checks.</x:v>
      </x:c>
      <x:c r="D16" s="39" t="str">
        <x:v>Test cases, screenshots, QA log, or automated test output</x:v>
      </x:c>
      <x:c r="E16" s="40" t="n">
        <x:v>0.01361111111111111</x:v>
      </x:c>
      <x:c r="F16" s="41" t="b">
        <x:v>0</x:v>
      </x:c>
      <x:c r="G16" s="39" t="str"/>
    </x:row>
    <x:row r="17">
      <x:c r="A17" s="39" t="str">
        <x:v>DASH-05</x:v>
      </x:c>
      <x:c r="B17" s="39" t="str">
        <x:v>Resolve issues</x:v>
      </x:c>
      <x:c r="C17" s="39" t="str">
        <x:v>Given defects found during testing, all critical issues should be fixed and rechecked.</x:v>
      </x:c>
      <x:c r="D17" s="39" t="str">
        <x:v>Resolved issue list and retest evidence</x:v>
      </x:c>
      <x:c r="E17" s="40" t="n">
        <x:v>0.01361111111111111</x:v>
      </x:c>
      <x:c r="F17" s="41" t="b">
        <x:v>0</x:v>
      </x:c>
      <x:c r="G17" s="39" t="str"/>
    </x:row>
    <x:row r="18">
      <x:c r="A18" s="39" t="str">
        <x:v>DASH-06</x:v>
      </x:c>
      <x:c r="B18" s="39" t="str">
        <x:v>Document work</x:v>
      </x:c>
      <x:c r="C18" s="39" t="str">
        <x:v>Given the completed work, the manuscript should explain the implementation, validation, and results clearly.</x:v>
      </x:c>
      <x:c r="D18" s="39" t="str">
        <x:v>Updated chapter, appendix, or technical documentation</x:v>
      </x:c>
      <x:c r="E18" s="40" t="n">
        <x:v>0.01361111111111111</x:v>
      </x:c>
      <x:c r="F18" s="41" t="b">
        <x:v>0</x:v>
      </x:c>
      <x:c r="G18" s="39" t="str"/>
    </x:row>
    <x:row r="19">
      <x:c r="A19" s="42" t="str">
        <x:v>Total Accomplished</x:v>
      </x:c>
      <x:c r="B19" s="42" t="str"/>
      <x:c r="C19" s="42" t="str"/>
      <x:c r="D19" s="42" t="str"/>
      <x:c r="E19" s="43" t="n">
        <x:f>SUM(E13:E18)</x:f>
        <x:v>0.08166666666666667</x:v>
      </x:c>
      <x:c r="F19" s="43" t="n">
        <x:f>SUMIF(F13:F18, TRUE, E13:E18)</x:f>
        <x:v>0</x:v>
      </x:c>
      <x:c r="G19" s="42" t="str"/>
    </x:row>
    <x:row r="20">
      <x:c r="A20" s="44"/>
      <x:c r="B20" s="44"/>
      <x:c r="C20" s="44"/>
      <x:c r="D20" s="44"/>
      <x:c r="E20" s="44"/>
      <x:c r="F20" s="44"/>
      <x:c r="G20" s="44"/>
    </x:row>
    <x:row r="21" ht="21" customHeight="1">
      <x:c r="A21" s="37" t="str">
        <x:v>Task ID</x:v>
      </x:c>
      <x:c r="B21" s="37" t="str">
        <x:v>REPORT</x:v>
      </x:c>
      <x:c r="C21" s="37" t="str">
        <x:v>Task Name</x:v>
      </x:c>
      <x:c r="D21" s="37" t="str">
        <x:v>Reports and User Feedback</x:v>
      </x:c>
      <x:c r="E21" s="37" t="str"/>
      <x:c r="F21" s="37" t="str"/>
      <x:c r="G21" s="37" t="str"/>
    </x:row>
    <x:row r="22">
      <x:c r="A22" s="38" t="str">
        <x:v>Subtask ID</x:v>
      </x:c>
      <x:c r="B22" s="38" t="str">
        <x:v>Subtask Name</x:v>
      </x:c>
      <x:c r="C22" s="38" t="str">
        <x:v>Acceptance Criteria</x:v>
      </x:c>
      <x:c r="D22" s="38" t="str">
        <x:v>Evidence / Deliverable</x:v>
      </x:c>
      <x:c r="E22" s="38" t="str">
        <x:v>Weight Allocation</x:v>
      </x:c>
      <x:c r="F22" s="38" t="str">
        <x:v>Status</x:v>
      </x:c>
      <x:c r="G22" s="38" t="str">
        <x:v>Remarks</x:v>
      </x:c>
    </x:row>
    <x:row r="23">
      <x:c r="A23" s="39" t="str">
        <x:v>REPORT-01</x:v>
      </x:c>
      <x:c r="B23" s="39" t="str">
        <x:v>Define requirements</x:v>
      </x:c>
      <x:c r="C23" s="39" t="str">
        <x:v>Given the approved project scope, requirements should be specific, measurable, and traceable to the system objectives.</x:v>
      </x:c>
      <x:c r="D23" s="39" t="str">
        <x:v>Requirements matrix or signed-off checklist</x:v>
      </x:c>
      <x:c r="E23" s="40" t="n">
        <x:v>0.01361111111111111</x:v>
      </x:c>
      <x:c r="F23" s="41" t="b">
        <x:v>0</x:v>
      </x:c>
      <x:c r="G23" s="39" t="str"/>
    </x:row>
    <x:row r="24">
      <x:c r="A24" s="39" t="str">
        <x:v>REPORT-02</x:v>
      </x:c>
      <x:c r="B24" s="39" t="str">
        <x:v>Design solution</x:v>
      </x:c>
      <x:c r="C24" s="39" t="str">
        <x:v>Given the requirement set, the design should describe the expected user flow, data flow, or technical behavior.</x:v>
      </x:c>
      <x:c r="D24" s="39" t="str">
        <x:v>Wireframe, diagram, ERD, API contract, or design note</x:v>
      </x:c>
      <x:c r="E24" s="40" t="n">
        <x:v>0.01361111111111111</x:v>
      </x:c>
      <x:c r="F24" s="41" t="b">
        <x:v>0</x:v>
      </x:c>
      <x:c r="G24" s="39" t="str"/>
    </x:row>
    <x:row r="25">
      <x:c r="A25" s="39" t="str">
        <x:v>REPORT-03</x:v>
      </x:c>
      <x:c r="B25" s="39" t="str">
        <x:v>Implement feature</x:v>
      </x:c>
      <x:c r="C25" s="39" t="str">
        <x:v>Given the approved design, the feature should work in the target environment and handle expected inputs.</x:v>
      </x:c>
      <x:c r="D25" s="39" t="str">
        <x:v>Committed implementation, deployment link, or working demo</x:v>
      </x:c>
      <x:c r="E25" s="40" t="n">
        <x:v>0.01361111111111111</x:v>
      </x:c>
      <x:c r="F25" s="41" t="b">
        <x:v>0</x:v>
      </x:c>
      <x:c r="G25" s="39" t="str"/>
    </x:row>
    <x:row r="26">
      <x:c r="A26" s="39" t="str">
        <x:v>REPORT-04</x:v>
      </x:c>
      <x:c r="B26" s="39" t="str">
        <x:v>Test expected behavior</x:v>
      </x:c>
      <x:c r="C26" s="39" t="str">
        <x:v>Given valid and invalid scenarios, the feature should pass documented functional and edge-case checks.</x:v>
      </x:c>
      <x:c r="D26" s="39" t="str">
        <x:v>Test cases, screenshots, QA log, or automated test output</x:v>
      </x:c>
      <x:c r="E26" s="40" t="n">
        <x:v>0.01361111111111111</x:v>
      </x:c>
      <x:c r="F26" s="41" t="b">
        <x:v>0</x:v>
      </x:c>
      <x:c r="G26" s="39" t="str"/>
    </x:row>
    <x:row r="27">
      <x:c r="A27" s="39" t="str">
        <x:v>REPORT-05</x:v>
      </x:c>
      <x:c r="B27" s="39" t="str">
        <x:v>Resolve issues</x:v>
      </x:c>
      <x:c r="C27" s="39" t="str">
        <x:v>Given defects found during testing, all critical issues should be fixed and rechecked.</x:v>
      </x:c>
      <x:c r="D27" s="39" t="str">
        <x:v>Resolved issue list and retest evidence</x:v>
      </x:c>
      <x:c r="E27" s="40" t="n">
        <x:v>0.01361111111111111</x:v>
      </x:c>
      <x:c r="F27" s="41" t="b">
        <x:v>0</x:v>
      </x:c>
      <x:c r="G27" s="39" t="str"/>
    </x:row>
    <x:row r="28">
      <x:c r="A28" s="39" t="str">
        <x:v>REPORT-06</x:v>
      </x:c>
      <x:c r="B28" s="39" t="str">
        <x:v>Document work</x:v>
      </x:c>
      <x:c r="C28" s="39" t="str">
        <x:v>Given the completed work, the manuscript should explain the implementation, validation, and results clearly.</x:v>
      </x:c>
      <x:c r="D28" s="39" t="str">
        <x:v>Updated chapter, appendix, or technical documentation</x:v>
      </x:c>
      <x:c r="E28" s="40" t="n">
        <x:v>0.01361111111111111</x:v>
      </x:c>
      <x:c r="F28" s="41" t="b">
        <x:v>0</x:v>
      </x:c>
      <x:c r="G28" s="39" t="str"/>
    </x:row>
    <x:row r="29">
      <x:c r="A29" s="42" t="str">
        <x:v>Total Accomplished</x:v>
      </x:c>
      <x:c r="B29" s="42" t="str"/>
      <x:c r="C29" s="42" t="str"/>
      <x:c r="D29" s="42" t="str"/>
      <x:c r="E29" s="43" t="n">
        <x:f>SUM(E23:E28)</x:f>
        <x:v>0.08166666666666667</x:v>
      </x:c>
      <x:c r="F29" s="43" t="n">
        <x:f>SUMIF(F23:F28, TRUE, E23:E28)</x:f>
        <x:v>0</x:v>
      </x:c>
      <x:c r="G29" s="42" t="str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5" t="str">
        <x:v>Module Accomplishment</x:v>
      </x:c>
      <x:c r="B32" s="45" t="str">
        <x:v>MOD-FE</x:v>
      </x:c>
      <x:c r="C32" s="45" t="str">
        <x:v>Frontend User Interface</x:v>
      </x:c>
      <x:c r="D32" s="45" t="str"/>
      <x:c r="E32" s="46" t="n">
        <x:v>0.245</x:v>
      </x:c>
      <x:c r="F32" s="46" t="n">
        <x:f>SUM('MOD-FE'!F9,'MOD-FE'!F19,'MOD-FE'!F29)</x:f>
        <x:v>0</x:v>
      </x:c>
      <x:c r="G32" s="45" t="str"/>
    </x:row>
  </x:sheetData>
  <x:dataValidations count="3">
    <x:dataValidation type="list" sqref="F3:F8">
      <x:formula1>"TRUE,FALSE"</x:formula1>
    </x:dataValidation>
    <x:dataValidation type="list" sqref="F13:F18">
      <x:formula1>"TRUE,FALSE"</x:formula1>
    </x:dataValidation>
    <x:dataValidation type="list" sqref="F23:F28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9.3799991607666" hidden="0" customWidth="1"/>
    <x:col min="3" max="3" width="52.5" hidden="0" customWidth="1"/>
    <x:col min="4" max="4" width="45" hidden="0" customWidth="1"/>
    <x:col min="5" max="5" width="14.75" hidden="0" customWidth="1"/>
    <x:col min="6" max="6" width="13.130000114440918" hidden="0" customWidth="1"/>
    <x:col min="7" max="7" width="23.75" hidden="0" customWidth="1"/>
  </x:cols>
  <x:sheetData>
    <x:row r="1" ht="21" customHeight="1">
      <x:c r="A1" s="37" t="str">
        <x:v>Task ID</x:v>
      </x:c>
      <x:c r="B1" s="37" t="str">
        <x:v>API</x:v>
      </x:c>
      <x:c r="C1" s="37" t="str">
        <x:v>Task Name</x:v>
      </x:c>
      <x:c r="D1" s="37" t="str">
        <x:v>Core API Endpoints</x:v>
      </x:c>
      <x:c r="E1" s="37" t="str"/>
      <x:c r="F1" s="37" t="str"/>
      <x:c r="G1" s="37" t="str"/>
    </x:row>
    <x:row r="2">
      <x:c r="A2" s="38" t="str">
        <x:v>Subtask ID</x:v>
      </x:c>
      <x:c r="B2" s="38" t="str">
        <x:v>Subtask Name</x:v>
      </x:c>
      <x:c r="C2" s="38" t="str">
        <x:v>Acceptance Criteria</x:v>
      </x:c>
      <x:c r="D2" s="38" t="str">
        <x:v>Evidence / Deliverable</x:v>
      </x:c>
      <x:c r="E2" s="38" t="str">
        <x:v>Weight Allocation</x:v>
      </x:c>
      <x:c r="F2" s="38" t="str">
        <x:v>Status</x:v>
      </x:c>
      <x:c r="G2" s="38" t="str">
        <x:v>Remarks</x:v>
      </x:c>
    </x:row>
    <x:row r="3">
      <x:c r="A3" s="39" t="str">
        <x:v>API-01</x:v>
      </x:c>
      <x:c r="B3" s="39" t="str">
        <x:v>Define requirements</x:v>
      </x:c>
      <x:c r="C3" s="39" t="str">
        <x:v>Given the approved project scope, requirements should be specific, measurable, and traceable to the system objectives.</x:v>
      </x:c>
      <x:c r="D3" s="39" t="str">
        <x:v>Requirements matrix or signed-off checklist</x:v>
      </x:c>
      <x:c r="E3" s="40" t="n">
        <x:v>0.013055555555555555</x:v>
      </x:c>
      <x:c r="F3" s="41" t="b">
        <x:v>0</x:v>
      </x:c>
      <x:c r="G3" s="39" t="str"/>
    </x:row>
    <x:row r="4">
      <x:c r="A4" s="39" t="str">
        <x:v>API-02</x:v>
      </x:c>
      <x:c r="B4" s="39" t="str">
        <x:v>Design solution</x:v>
      </x:c>
      <x:c r="C4" s="39" t="str">
        <x:v>Given the requirement set, the design should describe the expected user flow, data flow, or technical behavior.</x:v>
      </x:c>
      <x:c r="D4" s="39" t="str">
        <x:v>Wireframe, diagram, ERD, API contract, or design note</x:v>
      </x:c>
      <x:c r="E4" s="40" t="n">
        <x:v>0.013055555555555555</x:v>
      </x:c>
      <x:c r="F4" s="41" t="b">
        <x:v>0</x:v>
      </x:c>
      <x:c r="G4" s="39" t="str"/>
    </x:row>
    <x:row r="5">
      <x:c r="A5" s="39" t="str">
        <x:v>API-03</x:v>
      </x:c>
      <x:c r="B5" s="39" t="str">
        <x:v>Implement feature</x:v>
      </x:c>
      <x:c r="C5" s="39" t="str">
        <x:v>Given the approved design, the feature should work in the target environment and handle expected inputs.</x:v>
      </x:c>
      <x:c r="D5" s="39" t="str">
        <x:v>Committed implementation, deployment link, or working demo</x:v>
      </x:c>
      <x:c r="E5" s="40" t="n">
        <x:v>0.013055555555555555</x:v>
      </x:c>
      <x:c r="F5" s="41" t="b">
        <x:v>0</x:v>
      </x:c>
      <x:c r="G5" s="39" t="str"/>
    </x:row>
    <x:row r="6">
      <x:c r="A6" s="39" t="str">
        <x:v>API-04</x:v>
      </x:c>
      <x:c r="B6" s="39" t="str">
        <x:v>Test expected behavior</x:v>
      </x:c>
      <x:c r="C6" s="39" t="str">
        <x:v>Given valid and invalid scenarios, the feature should pass documented functional and edge-case checks.</x:v>
      </x:c>
      <x:c r="D6" s="39" t="str">
        <x:v>Test cases, screenshots, QA log, or automated test output</x:v>
      </x:c>
      <x:c r="E6" s="40" t="n">
        <x:v>0.013055555555555555</x:v>
      </x:c>
      <x:c r="F6" s="41" t="b">
        <x:v>0</x:v>
      </x:c>
      <x:c r="G6" s="39" t="str"/>
    </x:row>
    <x:row r="7">
      <x:c r="A7" s="39" t="str">
        <x:v>API-05</x:v>
      </x:c>
      <x:c r="B7" s="39" t="str">
        <x:v>Resolve issues</x:v>
      </x:c>
      <x:c r="C7" s="39" t="str">
        <x:v>Given defects found during testing, all critical issues should be fixed and rechecked.</x:v>
      </x:c>
      <x:c r="D7" s="39" t="str">
        <x:v>Resolved issue list and retest evidence</x:v>
      </x:c>
      <x:c r="E7" s="40" t="n">
        <x:v>0.013055555555555555</x:v>
      </x:c>
      <x:c r="F7" s="41" t="b">
        <x:v>0</x:v>
      </x:c>
      <x:c r="G7" s="39" t="str"/>
    </x:row>
    <x:row r="8">
      <x:c r="A8" s="39" t="str">
        <x:v>API-06</x:v>
      </x:c>
      <x:c r="B8" s="39" t="str">
        <x:v>Document work</x:v>
      </x:c>
      <x:c r="C8" s="39" t="str">
        <x:v>Given the completed work, the manuscript should explain the implementation, validation, and results clearly.</x:v>
      </x:c>
      <x:c r="D8" s="39" t="str">
        <x:v>Updated chapter, appendix, or technical documentation</x:v>
      </x:c>
      <x:c r="E8" s="40" t="n">
        <x:v>0.013055555555555555</x:v>
      </x:c>
      <x:c r="F8" s="41" t="b">
        <x:v>0</x:v>
      </x:c>
      <x:c r="G8" s="39" t="str"/>
    </x:row>
    <x:row r="9">
      <x:c r="A9" s="42" t="str">
        <x:v>Total Accomplished</x:v>
      </x:c>
      <x:c r="B9" s="42" t="str"/>
      <x:c r="C9" s="42" t="str"/>
      <x:c r="D9" s="42" t="str"/>
      <x:c r="E9" s="43" t="n">
        <x:f>SUM(E3:E8)</x:f>
        <x:v>0.07833333333333332</x:v>
      </x:c>
      <x:c r="F9" s="43" t="n">
        <x:f>SUMIF(F3:F8, TRUE, E3:E8)</x:f>
        <x:v>0</x:v>
      </x:c>
      <x:c r="G9" s="42" t="str"/>
    </x:row>
    <x:row r="10">
      <x:c r="A10" s="44"/>
      <x:c r="B10" s="44"/>
      <x:c r="C10" s="44"/>
      <x:c r="D10" s="44"/>
      <x:c r="E10" s="44"/>
      <x:c r="F10" s="44"/>
      <x:c r="G10" s="44"/>
    </x:row>
    <x:row r="11" ht="21" customHeight="1">
      <x:c r="A11" s="37" t="str">
        <x:v>Task ID</x:v>
      </x:c>
      <x:c r="B11" s="37" t="str">
        <x:v>SEC</x:v>
      </x:c>
      <x:c r="C11" s="37" t="str">
        <x:v>Task Name</x:v>
      </x:c>
      <x:c r="D11" s="37" t="str">
        <x:v>Security and Access Control</x:v>
      </x:c>
      <x:c r="E11" s="37" t="str"/>
      <x:c r="F11" s="37" t="str"/>
      <x:c r="G11" s="37" t="str"/>
    </x:row>
    <x:row r="12">
      <x:c r="A12" s="38" t="str">
        <x:v>Subtask ID</x:v>
      </x:c>
      <x:c r="B12" s="38" t="str">
        <x:v>Subtask Name</x:v>
      </x:c>
      <x:c r="C12" s="38" t="str">
        <x:v>Acceptance Criteria</x:v>
      </x:c>
      <x:c r="D12" s="38" t="str">
        <x:v>Evidence / Deliverable</x:v>
      </x:c>
      <x:c r="E12" s="38" t="str">
        <x:v>Weight Allocation</x:v>
      </x:c>
      <x:c r="F12" s="38" t="str">
        <x:v>Status</x:v>
      </x:c>
      <x:c r="G12" s="38" t="str">
        <x:v>Remarks</x:v>
      </x:c>
    </x:row>
    <x:row r="13">
      <x:c r="A13" s="39" t="str">
        <x:v>SEC-01</x:v>
      </x:c>
      <x:c r="B13" s="39" t="str">
        <x:v>Define requirements</x:v>
      </x:c>
      <x:c r="C13" s="39" t="str">
        <x:v>Given the approved project scope, requirements should be specific, measurable, and traceable to the system objectives.</x:v>
      </x:c>
      <x:c r="D13" s="39" t="str">
        <x:v>Requirements matrix or signed-off checklist</x:v>
      </x:c>
      <x:c r="E13" s="40" t="n">
        <x:v>0.013055555555555555</x:v>
      </x:c>
      <x:c r="F13" s="41" t="b">
        <x:v>0</x:v>
      </x:c>
      <x:c r="G13" s="39" t="str"/>
    </x:row>
    <x:row r="14">
      <x:c r="A14" s="39" t="str">
        <x:v>SEC-02</x:v>
      </x:c>
      <x:c r="B14" s="39" t="str">
        <x:v>Design solution</x:v>
      </x:c>
      <x:c r="C14" s="39" t="str">
        <x:v>Given the requirement set, the design should describe the expected user flow, data flow, or technical behavior.</x:v>
      </x:c>
      <x:c r="D14" s="39" t="str">
        <x:v>Wireframe, diagram, ERD, API contract, or design note</x:v>
      </x:c>
      <x:c r="E14" s="40" t="n">
        <x:v>0.013055555555555555</x:v>
      </x:c>
      <x:c r="F14" s="41" t="b">
        <x:v>0</x:v>
      </x:c>
      <x:c r="G14" s="39" t="str"/>
    </x:row>
    <x:row r="15">
      <x:c r="A15" s="39" t="str">
        <x:v>SEC-03</x:v>
      </x:c>
      <x:c r="B15" s="39" t="str">
        <x:v>Implement feature</x:v>
      </x:c>
      <x:c r="C15" s="39" t="str">
        <x:v>Given the approved design, the feature should work in the target environment and handle expected inputs.</x:v>
      </x:c>
      <x:c r="D15" s="39" t="str">
        <x:v>Committed implementation, deployment link, or working demo</x:v>
      </x:c>
      <x:c r="E15" s="40" t="n">
        <x:v>0.013055555555555555</x:v>
      </x:c>
      <x:c r="F15" s="41" t="b">
        <x:v>0</x:v>
      </x:c>
      <x:c r="G15" s="39" t="str"/>
    </x:row>
    <x:row r="16">
      <x:c r="A16" s="39" t="str">
        <x:v>SEC-04</x:v>
      </x:c>
      <x:c r="B16" s="39" t="str">
        <x:v>Test expected behavior</x:v>
      </x:c>
      <x:c r="C16" s="39" t="str">
        <x:v>Given valid and invalid scenarios, the feature should pass documented functional and edge-case checks.</x:v>
      </x:c>
      <x:c r="D16" s="39" t="str">
        <x:v>Test cases, screenshots, QA log, or automated test output</x:v>
      </x:c>
      <x:c r="E16" s="40" t="n">
        <x:v>0.013055555555555555</x:v>
      </x:c>
      <x:c r="F16" s="41" t="b">
        <x:v>0</x:v>
      </x:c>
      <x:c r="G16" s="39" t="str"/>
    </x:row>
    <x:row r="17">
      <x:c r="A17" s="39" t="str">
        <x:v>SEC-05</x:v>
      </x:c>
      <x:c r="B17" s="39" t="str">
        <x:v>Resolve issues</x:v>
      </x:c>
      <x:c r="C17" s="39" t="str">
        <x:v>Given defects found during testing, all critical issues should be fixed and rechecked.</x:v>
      </x:c>
      <x:c r="D17" s="39" t="str">
        <x:v>Resolved issue list and retest evidence</x:v>
      </x:c>
      <x:c r="E17" s="40" t="n">
        <x:v>0.013055555555555555</x:v>
      </x:c>
      <x:c r="F17" s="41" t="b">
        <x:v>0</x:v>
      </x:c>
      <x:c r="G17" s="39" t="str"/>
    </x:row>
    <x:row r="18">
      <x:c r="A18" s="39" t="str">
        <x:v>SEC-06</x:v>
      </x:c>
      <x:c r="B18" s="39" t="str">
        <x:v>Document work</x:v>
      </x:c>
      <x:c r="C18" s="39" t="str">
        <x:v>Given the completed work, the manuscript should explain the implementation, validation, and results clearly.</x:v>
      </x:c>
      <x:c r="D18" s="39" t="str">
        <x:v>Updated chapter, appendix, or technical documentation</x:v>
      </x:c>
      <x:c r="E18" s="40" t="n">
        <x:v>0.013055555555555555</x:v>
      </x:c>
      <x:c r="F18" s="41" t="b">
        <x:v>0</x:v>
      </x:c>
      <x:c r="G18" s="39" t="str"/>
    </x:row>
    <x:row r="19">
      <x:c r="A19" s="42" t="str">
        <x:v>Total Accomplished</x:v>
      </x:c>
      <x:c r="B19" s="42" t="str"/>
      <x:c r="C19" s="42" t="str"/>
      <x:c r="D19" s="42" t="str"/>
      <x:c r="E19" s="43" t="n">
        <x:f>SUM(E13:E18)</x:f>
        <x:v>0.07833333333333332</x:v>
      </x:c>
      <x:c r="F19" s="43" t="n">
        <x:f>SUMIF(F13:F18, TRUE, E13:E18)</x:f>
        <x:v>0</x:v>
      </x:c>
      <x:c r="G19" s="42" t="str"/>
    </x:row>
    <x:row r="20">
      <x:c r="A20" s="44"/>
      <x:c r="B20" s="44"/>
      <x:c r="C20" s="44"/>
      <x:c r="D20" s="44"/>
      <x:c r="E20" s="44"/>
      <x:c r="F20" s="44"/>
      <x:c r="G20" s="44"/>
    </x:row>
    <x:row r="21" ht="21" customHeight="1">
      <x:c r="A21" s="37" t="str">
        <x:v>Task ID</x:v>
      </x:c>
      <x:c r="B21" s="37" t="str">
        <x:v>INT</x:v>
      </x:c>
      <x:c r="C21" s="37" t="str">
        <x:v>Task Name</x:v>
      </x:c>
      <x:c r="D21" s="37" t="str">
        <x:v>System Integrations</x:v>
      </x:c>
      <x:c r="E21" s="37" t="str"/>
      <x:c r="F21" s="37" t="str"/>
      <x:c r="G21" s="37" t="str"/>
    </x:row>
    <x:row r="22">
      <x:c r="A22" s="38" t="str">
        <x:v>Subtask ID</x:v>
      </x:c>
      <x:c r="B22" s="38" t="str">
        <x:v>Subtask Name</x:v>
      </x:c>
      <x:c r="C22" s="38" t="str">
        <x:v>Acceptance Criteria</x:v>
      </x:c>
      <x:c r="D22" s="38" t="str">
        <x:v>Evidence / Deliverable</x:v>
      </x:c>
      <x:c r="E22" s="38" t="str">
        <x:v>Weight Allocation</x:v>
      </x:c>
      <x:c r="F22" s="38" t="str">
        <x:v>Status</x:v>
      </x:c>
      <x:c r="G22" s="38" t="str">
        <x:v>Remarks</x:v>
      </x:c>
    </x:row>
    <x:row r="23">
      <x:c r="A23" s="39" t="str">
        <x:v>INT-01</x:v>
      </x:c>
      <x:c r="B23" s="39" t="str">
        <x:v>Define requirements</x:v>
      </x:c>
      <x:c r="C23" s="39" t="str">
        <x:v>Given the approved project scope, requirements should be specific, measurable, and traceable to the system objectives.</x:v>
      </x:c>
      <x:c r="D23" s="39" t="str">
        <x:v>Requirements matrix or signed-off checklist</x:v>
      </x:c>
      <x:c r="E23" s="40" t="n">
        <x:v>0.013055555555555555</x:v>
      </x:c>
      <x:c r="F23" s="41" t="b">
        <x:v>0</x:v>
      </x:c>
      <x:c r="G23" s="39" t="str"/>
    </x:row>
    <x:row r="24">
      <x:c r="A24" s="39" t="str">
        <x:v>INT-02</x:v>
      </x:c>
      <x:c r="B24" s="39" t="str">
        <x:v>Design solution</x:v>
      </x:c>
      <x:c r="C24" s="39" t="str">
        <x:v>Given the requirement set, the design should describe the expected user flow, data flow, or technical behavior.</x:v>
      </x:c>
      <x:c r="D24" s="39" t="str">
        <x:v>Wireframe, diagram, ERD, API contract, or design note</x:v>
      </x:c>
      <x:c r="E24" s="40" t="n">
        <x:v>0.013055555555555555</x:v>
      </x:c>
      <x:c r="F24" s="41" t="b">
        <x:v>0</x:v>
      </x:c>
      <x:c r="G24" s="39" t="str"/>
    </x:row>
    <x:row r="25">
      <x:c r="A25" s="39" t="str">
        <x:v>INT-03</x:v>
      </x:c>
      <x:c r="B25" s="39" t="str">
        <x:v>Implement feature</x:v>
      </x:c>
      <x:c r="C25" s="39" t="str">
        <x:v>Given the approved design, the feature should work in the target environment and handle expected inputs.</x:v>
      </x:c>
      <x:c r="D25" s="39" t="str">
        <x:v>Committed implementation, deployment link, or working demo</x:v>
      </x:c>
      <x:c r="E25" s="40" t="n">
        <x:v>0.013055555555555555</x:v>
      </x:c>
      <x:c r="F25" s="41" t="b">
        <x:v>0</x:v>
      </x:c>
      <x:c r="G25" s="39" t="str"/>
    </x:row>
    <x:row r="26">
      <x:c r="A26" s="39" t="str">
        <x:v>INT-04</x:v>
      </x:c>
      <x:c r="B26" s="39" t="str">
        <x:v>Test expected behavior</x:v>
      </x:c>
      <x:c r="C26" s="39" t="str">
        <x:v>Given valid and invalid scenarios, the feature should pass documented functional and edge-case checks.</x:v>
      </x:c>
      <x:c r="D26" s="39" t="str">
        <x:v>Test cases, screenshots, QA log, or automated test output</x:v>
      </x:c>
      <x:c r="E26" s="40" t="n">
        <x:v>0.013055555555555555</x:v>
      </x:c>
      <x:c r="F26" s="41" t="b">
        <x:v>0</x:v>
      </x:c>
      <x:c r="G26" s="39" t="str"/>
    </x:row>
    <x:row r="27">
      <x:c r="A27" s="39" t="str">
        <x:v>INT-05</x:v>
      </x:c>
      <x:c r="B27" s="39" t="str">
        <x:v>Resolve issues</x:v>
      </x:c>
      <x:c r="C27" s="39" t="str">
        <x:v>Given defects found during testing, all critical issues should be fixed and rechecked.</x:v>
      </x:c>
      <x:c r="D27" s="39" t="str">
        <x:v>Resolved issue list and retest evidence</x:v>
      </x:c>
      <x:c r="E27" s="40" t="n">
        <x:v>0.013055555555555555</x:v>
      </x:c>
      <x:c r="F27" s="41" t="b">
        <x:v>0</x:v>
      </x:c>
      <x:c r="G27" s="39" t="str"/>
    </x:row>
    <x:row r="28">
      <x:c r="A28" s="39" t="str">
        <x:v>INT-06</x:v>
      </x:c>
      <x:c r="B28" s="39" t="str">
        <x:v>Document work</x:v>
      </x:c>
      <x:c r="C28" s="39" t="str">
        <x:v>Given the completed work, the manuscript should explain the implementation, validation, and results clearly.</x:v>
      </x:c>
      <x:c r="D28" s="39" t="str">
        <x:v>Updated chapter, appendix, or technical documentation</x:v>
      </x:c>
      <x:c r="E28" s="40" t="n">
        <x:v>0.013055555555555555</x:v>
      </x:c>
      <x:c r="F28" s="41" t="b">
        <x:v>0</x:v>
      </x:c>
      <x:c r="G28" s="39" t="str"/>
    </x:row>
    <x:row r="29">
      <x:c r="A29" s="42" t="str">
        <x:v>Total Accomplished</x:v>
      </x:c>
      <x:c r="B29" s="42" t="str"/>
      <x:c r="C29" s="42" t="str"/>
      <x:c r="D29" s="42" t="str"/>
      <x:c r="E29" s="43" t="n">
        <x:f>SUM(E23:E28)</x:f>
        <x:v>0.07833333333333332</x:v>
      </x:c>
      <x:c r="F29" s="43" t="n">
        <x:f>SUMIF(F23:F28, TRUE, E23:E28)</x:f>
        <x:v>0</x:v>
      </x:c>
      <x:c r="G29" s="42" t="str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5" t="str">
        <x:v>Module Accomplishment</x:v>
      </x:c>
      <x:c r="B32" s="45" t="str">
        <x:v>MOD-BE</x:v>
      </x:c>
      <x:c r="C32" s="45" t="str">
        <x:v>Backend and API Services</x:v>
      </x:c>
      <x:c r="D32" s="45" t="str"/>
      <x:c r="E32" s="46" t="n">
        <x:v>0.235</x:v>
      </x:c>
      <x:c r="F32" s="46" t="n">
        <x:f>SUM('MOD-BE'!F9,'MOD-BE'!F19,'MOD-BE'!F29)</x:f>
        <x:v>0</x:v>
      </x:c>
      <x:c r="G32" s="45" t="str"/>
    </x:row>
  </x:sheetData>
  <x:dataValidations count="3">
    <x:dataValidation type="list" sqref="F3:F8">
      <x:formula1>"TRUE,FALSE"</x:formula1>
    </x:dataValidation>
    <x:dataValidation type="list" sqref="F13:F18">
      <x:formula1>"TRUE,FALSE"</x:formula1>
    </x:dataValidation>
    <x:dataValidation type="list" sqref="F23:F28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9.3799991607666" hidden="0" customWidth="1"/>
    <x:col min="3" max="3" width="52.5" hidden="0" customWidth="1"/>
    <x:col min="4" max="4" width="45" hidden="0" customWidth="1"/>
    <x:col min="5" max="5" width="14.75" hidden="0" customWidth="1"/>
    <x:col min="6" max="6" width="13.130000114440918" hidden="0" customWidth="1"/>
    <x:col min="7" max="7" width="23.75" hidden="0" customWidth="1"/>
  </x:cols>
  <x:sheetData>
    <x:row r="1" ht="21" customHeight="1">
      <x:c r="A1" s="37" t="str">
        <x:v>Task ID</x:v>
      </x:c>
      <x:c r="B1" s="37" t="str">
        <x:v>DATA</x:v>
      </x:c>
      <x:c r="C1" s="37" t="str">
        <x:v>Task Name</x:v>
      </x:c>
      <x:c r="D1" s="37" t="str">
        <x:v>Database Schema and Source Data</x:v>
      </x:c>
      <x:c r="E1" s="37" t="str"/>
      <x:c r="F1" s="37" t="str"/>
      <x:c r="G1" s="37" t="str"/>
    </x:row>
    <x:row r="2">
      <x:c r="A2" s="38" t="str">
        <x:v>Subtask ID</x:v>
      </x:c>
      <x:c r="B2" s="38" t="str">
        <x:v>Subtask Name</x:v>
      </x:c>
      <x:c r="C2" s="38" t="str">
        <x:v>Acceptance Criteria</x:v>
      </x:c>
      <x:c r="D2" s="38" t="str">
        <x:v>Evidence / Deliverable</x:v>
      </x:c>
      <x:c r="E2" s="38" t="str">
        <x:v>Weight Allocation</x:v>
      </x:c>
      <x:c r="F2" s="38" t="str">
        <x:v>Status</x:v>
      </x:c>
      <x:c r="G2" s="38" t="str">
        <x:v>Remarks</x:v>
      </x:c>
    </x:row>
    <x:row r="3">
      <x:c r="A3" s="39" t="str">
        <x:v>DATA-01</x:v>
      </x:c>
      <x:c r="B3" s="39" t="str">
        <x:v>Define requirements</x:v>
      </x:c>
      <x:c r="C3" s="39" t="str">
        <x:v>Given the approved project scope, requirements should be specific, measurable, and traceable to the system objectives.</x:v>
      </x:c>
      <x:c r="D3" s="39" t="str">
        <x:v>Requirements matrix or signed-off checklist</x:v>
      </x:c>
      <x:c r="E3" s="40" t="n">
        <x:v>0.006666666666666667</x:v>
      </x:c>
      <x:c r="F3" s="41" t="b">
        <x:v>0</x:v>
      </x:c>
      <x:c r="G3" s="39" t="str"/>
    </x:row>
    <x:row r="4">
      <x:c r="A4" s="39" t="str">
        <x:v>DATA-02</x:v>
      </x:c>
      <x:c r="B4" s="39" t="str">
        <x:v>Design solution</x:v>
      </x:c>
      <x:c r="C4" s="39" t="str">
        <x:v>Given the requirement set, the design should describe the expected user flow, data flow, or technical behavior.</x:v>
      </x:c>
      <x:c r="D4" s="39" t="str">
        <x:v>Wireframe, diagram, ERD, API contract, or design note</x:v>
      </x:c>
      <x:c r="E4" s="40" t="n">
        <x:v>0.006666666666666667</x:v>
      </x:c>
      <x:c r="F4" s="41" t="b">
        <x:v>0</x:v>
      </x:c>
      <x:c r="G4" s="39" t="str"/>
    </x:row>
    <x:row r="5">
      <x:c r="A5" s="39" t="str">
        <x:v>DATA-03</x:v>
      </x:c>
      <x:c r="B5" s="39" t="str">
        <x:v>Implement feature</x:v>
      </x:c>
      <x:c r="C5" s="39" t="str">
        <x:v>Given the approved design, the feature should work in the target environment and handle expected inputs.</x:v>
      </x:c>
      <x:c r="D5" s="39" t="str">
        <x:v>Committed implementation, deployment link, or working demo</x:v>
      </x:c>
      <x:c r="E5" s="40" t="n">
        <x:v>0.006666666666666667</x:v>
      </x:c>
      <x:c r="F5" s="41" t="b">
        <x:v>0</x:v>
      </x:c>
      <x:c r="G5" s="39" t="str"/>
    </x:row>
    <x:row r="6">
      <x:c r="A6" s="39" t="str">
        <x:v>DATA-04</x:v>
      </x:c>
      <x:c r="B6" s="39" t="str">
        <x:v>Test expected behavior</x:v>
      </x:c>
      <x:c r="C6" s="39" t="str">
        <x:v>Given valid and invalid scenarios, the feature should pass documented functional and edge-case checks.</x:v>
      </x:c>
      <x:c r="D6" s="39" t="str">
        <x:v>Test cases, screenshots, QA log, or automated test output</x:v>
      </x:c>
      <x:c r="E6" s="40" t="n">
        <x:v>0.006666666666666667</x:v>
      </x:c>
      <x:c r="F6" s="41" t="b">
        <x:v>0</x:v>
      </x:c>
      <x:c r="G6" s="39" t="str"/>
    </x:row>
    <x:row r="7">
      <x:c r="A7" s="39" t="str">
        <x:v>DATA-05</x:v>
      </x:c>
      <x:c r="B7" s="39" t="str">
        <x:v>Resolve issues</x:v>
      </x:c>
      <x:c r="C7" s="39" t="str">
        <x:v>Given defects found during testing, all critical issues should be fixed and rechecked.</x:v>
      </x:c>
      <x:c r="D7" s="39" t="str">
        <x:v>Resolved issue list and retest evidence</x:v>
      </x:c>
      <x:c r="E7" s="40" t="n">
        <x:v>0.006666666666666667</x:v>
      </x:c>
      <x:c r="F7" s="41" t="b">
        <x:v>0</x:v>
      </x:c>
      <x:c r="G7" s="39" t="str"/>
    </x:row>
    <x:row r="8">
      <x:c r="A8" s="39" t="str">
        <x:v>DATA-06</x:v>
      </x:c>
      <x:c r="B8" s="39" t="str">
        <x:v>Document work</x:v>
      </x:c>
      <x:c r="C8" s="39" t="str">
        <x:v>Given the completed work, the manuscript should explain the implementation, validation, and results clearly.</x:v>
      </x:c>
      <x:c r="D8" s="39" t="str">
        <x:v>Updated chapter, appendix, or technical documentation</x:v>
      </x:c>
      <x:c r="E8" s="40" t="n">
        <x:v>0.006666666666666667</x:v>
      </x:c>
      <x:c r="F8" s="41" t="b">
        <x:v>0</x:v>
      </x:c>
      <x:c r="G8" s="39" t="str"/>
    </x:row>
    <x:row r="9">
      <x:c r="A9" s="42" t="str">
        <x:v>Total Accomplished</x:v>
      </x:c>
      <x:c r="B9" s="42" t="str"/>
      <x:c r="C9" s="42" t="str"/>
      <x:c r="D9" s="42" t="str"/>
      <x:c r="E9" s="43" t="n">
        <x:f>SUM(E3:E8)</x:f>
        <x:v>0.04</x:v>
      </x:c>
      <x:c r="F9" s="43" t="n">
        <x:f>SUMIF(F3:F8, TRUE, E3:E8)</x:f>
        <x:v>0</x:v>
      </x:c>
      <x:c r="G9" s="42" t="str"/>
    </x:row>
    <x:row r="10">
      <x:c r="A10" s="44"/>
      <x:c r="B10" s="44"/>
      <x:c r="C10" s="44"/>
      <x:c r="D10" s="44"/>
      <x:c r="E10" s="44"/>
      <x:c r="F10" s="44"/>
      <x:c r="G10" s="44"/>
    </x:row>
    <x:row r="11" ht="21" customHeight="1">
      <x:c r="A11" s="37" t="str">
        <x:v>Task ID</x:v>
      </x:c>
      <x:c r="B11" s="37" t="str">
        <x:v>ETL</x:v>
      </x:c>
      <x:c r="C11" s="37" t="str">
        <x:v>Task Name</x:v>
      </x:c>
      <x:c r="D11" s="37" t="str">
        <x:v>Cleaning, Import, and Validation</x:v>
      </x:c>
      <x:c r="E11" s="37" t="str"/>
      <x:c r="F11" s="37" t="str"/>
      <x:c r="G11" s="37" t="str"/>
    </x:row>
    <x:row r="12">
      <x:c r="A12" s="38" t="str">
        <x:v>Subtask ID</x:v>
      </x:c>
      <x:c r="B12" s="38" t="str">
        <x:v>Subtask Name</x:v>
      </x:c>
      <x:c r="C12" s="38" t="str">
        <x:v>Acceptance Criteria</x:v>
      </x:c>
      <x:c r="D12" s="38" t="str">
        <x:v>Evidence / Deliverable</x:v>
      </x:c>
      <x:c r="E12" s="38" t="str">
        <x:v>Weight Allocation</x:v>
      </x:c>
      <x:c r="F12" s="38" t="str">
        <x:v>Status</x:v>
      </x:c>
      <x:c r="G12" s="38" t="str">
        <x:v>Remarks</x:v>
      </x:c>
    </x:row>
    <x:row r="13">
      <x:c r="A13" s="39" t="str">
        <x:v>ETL-01</x:v>
      </x:c>
      <x:c r="B13" s="39" t="str">
        <x:v>Define requirements</x:v>
      </x:c>
      <x:c r="C13" s="39" t="str">
        <x:v>Given the approved project scope, requirements should be specific, measurable, and traceable to the system objectives.</x:v>
      </x:c>
      <x:c r="D13" s="39" t="str">
        <x:v>Requirements matrix or signed-off checklist</x:v>
      </x:c>
      <x:c r="E13" s="40" t="n">
        <x:v>0.006666666666666667</x:v>
      </x:c>
      <x:c r="F13" s="41" t="b">
        <x:v>0</x:v>
      </x:c>
      <x:c r="G13" s="39" t="str"/>
    </x:row>
    <x:row r="14">
      <x:c r="A14" s="39" t="str">
        <x:v>ETL-02</x:v>
      </x:c>
      <x:c r="B14" s="39" t="str">
        <x:v>Design solution</x:v>
      </x:c>
      <x:c r="C14" s="39" t="str">
        <x:v>Given the requirement set, the design should describe the expected user flow, data flow, or technical behavior.</x:v>
      </x:c>
      <x:c r="D14" s="39" t="str">
        <x:v>Wireframe, diagram, ERD, API contract, or design note</x:v>
      </x:c>
      <x:c r="E14" s="40" t="n">
        <x:v>0.006666666666666667</x:v>
      </x:c>
      <x:c r="F14" s="41" t="b">
        <x:v>0</x:v>
      </x:c>
      <x:c r="G14" s="39" t="str"/>
    </x:row>
    <x:row r="15">
      <x:c r="A15" s="39" t="str">
        <x:v>ETL-03</x:v>
      </x:c>
      <x:c r="B15" s="39" t="str">
        <x:v>Implement feature</x:v>
      </x:c>
      <x:c r="C15" s="39" t="str">
        <x:v>Given the approved design, the feature should work in the target environment and handle expected inputs.</x:v>
      </x:c>
      <x:c r="D15" s="39" t="str">
        <x:v>Committed implementation, deployment link, or working demo</x:v>
      </x:c>
      <x:c r="E15" s="40" t="n">
        <x:v>0.006666666666666667</x:v>
      </x:c>
      <x:c r="F15" s="41" t="b">
        <x:v>0</x:v>
      </x:c>
      <x:c r="G15" s="39" t="str"/>
    </x:row>
    <x:row r="16">
      <x:c r="A16" s="39" t="str">
        <x:v>ETL-04</x:v>
      </x:c>
      <x:c r="B16" s="39" t="str">
        <x:v>Test expected behavior</x:v>
      </x:c>
      <x:c r="C16" s="39" t="str">
        <x:v>Given valid and invalid scenarios, the feature should pass documented functional and edge-case checks.</x:v>
      </x:c>
      <x:c r="D16" s="39" t="str">
        <x:v>Test cases, screenshots, QA log, or automated test output</x:v>
      </x:c>
      <x:c r="E16" s="40" t="n">
        <x:v>0.006666666666666667</x:v>
      </x:c>
      <x:c r="F16" s="41" t="b">
        <x:v>0</x:v>
      </x:c>
      <x:c r="G16" s="39" t="str"/>
    </x:row>
    <x:row r="17">
      <x:c r="A17" s="39" t="str">
        <x:v>ETL-05</x:v>
      </x:c>
      <x:c r="B17" s="39" t="str">
        <x:v>Resolve issues</x:v>
      </x:c>
      <x:c r="C17" s="39" t="str">
        <x:v>Given defects found during testing, all critical issues should be fixed and rechecked.</x:v>
      </x:c>
      <x:c r="D17" s="39" t="str">
        <x:v>Resolved issue list and retest evidence</x:v>
      </x:c>
      <x:c r="E17" s="40" t="n">
        <x:v>0.006666666666666667</x:v>
      </x:c>
      <x:c r="F17" s="41" t="b">
        <x:v>0</x:v>
      </x:c>
      <x:c r="G17" s="39" t="str"/>
    </x:row>
    <x:row r="18">
      <x:c r="A18" s="39" t="str">
        <x:v>ETL-06</x:v>
      </x:c>
      <x:c r="B18" s="39" t="str">
        <x:v>Document work</x:v>
      </x:c>
      <x:c r="C18" s="39" t="str">
        <x:v>Given the completed work, the manuscript should explain the implementation, validation, and results clearly.</x:v>
      </x:c>
      <x:c r="D18" s="39" t="str">
        <x:v>Updated chapter, appendix, or technical documentation</x:v>
      </x:c>
      <x:c r="E18" s="40" t="n">
        <x:v>0.006666666666666667</x:v>
      </x:c>
      <x:c r="F18" s="41" t="b">
        <x:v>0</x:v>
      </x:c>
      <x:c r="G18" s="39" t="str"/>
    </x:row>
    <x:row r="19">
      <x:c r="A19" s="42" t="str">
        <x:v>Total Accomplished</x:v>
      </x:c>
      <x:c r="B19" s="42" t="str"/>
      <x:c r="C19" s="42" t="str"/>
      <x:c r="D19" s="42" t="str"/>
      <x:c r="E19" s="43" t="n">
        <x:f>SUM(E13:E18)</x:f>
        <x:v>0.04</x:v>
      </x:c>
      <x:c r="F19" s="43" t="n">
        <x:f>SUMIF(F13:F18, TRUE, E13:E18)</x:f>
        <x:v>0</x:v>
      </x:c>
      <x:c r="G19" s="42" t="str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5" t="str">
        <x:v>Module Accomplishment</x:v>
      </x:c>
      <x:c r="B22" s="45" t="str">
        <x:v>MOD-DB</x:v>
      </x:c>
      <x:c r="C22" s="45" t="str">
        <x:v>Database and Data Processing</x:v>
      </x:c>
      <x:c r="D22" s="45" t="str"/>
      <x:c r="E22" s="46" t="n">
        <x:v>0.08</x:v>
      </x:c>
      <x:c r="F22" s="46" t="n">
        <x:f>SUM('MOD-DB'!F9,'MOD-DB'!F19)</x:f>
        <x:v>0</x:v>
      </x:c>
      <x:c r="G22" s="45" t="str"/>
    </x:row>
  </x:sheetData>
  <x:dataValidations count="2">
    <x:dataValidation type="list" sqref="F3:F8">
      <x:formula1>"TRUE,FALSE"</x:formula1>
    </x:dataValidation>
    <x:dataValidation type="list" sqref="F13:F18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9.3799991607666" hidden="0" customWidth="1"/>
    <x:col min="3" max="3" width="52.5" hidden="0" customWidth="1"/>
    <x:col min="4" max="4" width="45" hidden="0" customWidth="1"/>
    <x:col min="5" max="5" width="14.75" hidden="0" customWidth="1"/>
    <x:col min="6" max="6" width="13.130000114440918" hidden="0" customWidth="1"/>
    <x:col min="7" max="7" width="23.75" hidden="0" customWidth="1"/>
  </x:cols>
  <x:sheetData>
    <x:row r="1" ht="21" customHeight="1">
      <x:c r="A1" s="37" t="str">
        <x:v>Task ID</x:v>
      </x:c>
      <x:c r="B1" s="37" t="str">
        <x:v>MODEL</x:v>
      </x:c>
      <x:c r="C1" s="37" t="str">
        <x:v>Task Name</x:v>
      </x:c>
      <x:c r="D1" s="37" t="str">
        <x:v>Model Training and Evaluation</x:v>
      </x:c>
      <x:c r="E1" s="37" t="str"/>
      <x:c r="F1" s="37" t="str"/>
      <x:c r="G1" s="37" t="str"/>
    </x:row>
    <x:row r="2">
      <x:c r="A2" s="38" t="str">
        <x:v>Subtask ID</x:v>
      </x:c>
      <x:c r="B2" s="38" t="str">
        <x:v>Subtask Name</x:v>
      </x:c>
      <x:c r="C2" s="38" t="str">
        <x:v>Acceptance Criteria</x:v>
      </x:c>
      <x:c r="D2" s="38" t="str">
        <x:v>Evidence / Deliverable</x:v>
      </x:c>
      <x:c r="E2" s="38" t="str">
        <x:v>Weight Allocation</x:v>
      </x:c>
      <x:c r="F2" s="38" t="str">
        <x:v>Status</x:v>
      </x:c>
      <x:c r="G2" s="38" t="str">
        <x:v>Remarks</x:v>
      </x:c>
    </x:row>
    <x:row r="3">
      <x:c r="A3" s="39" t="str">
        <x:v>MODEL-01</x:v>
      </x:c>
      <x:c r="B3" s="39" t="str">
        <x:v>Define requirements</x:v>
      </x:c>
      <x:c r="C3" s="39" t="str">
        <x:v>Given the approved project scope, requirements should be specific, measurable, and traceable to the system objectives.</x:v>
      </x:c>
      <x:c r="D3" s="39" t="str">
        <x:v>Requirements matrix or signed-off checklist</x:v>
      </x:c>
      <x:c r="E3" s="40" t="n">
        <x:v>0.01583333333333333</x:v>
      </x:c>
      <x:c r="F3" s="41" t="b">
        <x:v>0</x:v>
      </x:c>
      <x:c r="G3" s="39" t="str"/>
    </x:row>
    <x:row r="4">
      <x:c r="A4" s="39" t="str">
        <x:v>MODEL-02</x:v>
      </x:c>
      <x:c r="B4" s="39" t="str">
        <x:v>Design solution</x:v>
      </x:c>
      <x:c r="C4" s="39" t="str">
        <x:v>Given the requirement set, the design should describe the expected user flow, data flow, or technical behavior.</x:v>
      </x:c>
      <x:c r="D4" s="39" t="str">
        <x:v>Wireframe, diagram, ERD, API contract, or design note</x:v>
      </x:c>
      <x:c r="E4" s="40" t="n">
        <x:v>0.01583333333333333</x:v>
      </x:c>
      <x:c r="F4" s="41" t="b">
        <x:v>0</x:v>
      </x:c>
      <x:c r="G4" s="39" t="str"/>
    </x:row>
    <x:row r="5">
      <x:c r="A5" s="39" t="str">
        <x:v>MODEL-03</x:v>
      </x:c>
      <x:c r="B5" s="39" t="str">
        <x:v>Implement feature</x:v>
      </x:c>
      <x:c r="C5" s="39" t="str">
        <x:v>Given the approved design, the feature should work in the target environment and handle expected inputs.</x:v>
      </x:c>
      <x:c r="D5" s="39" t="str">
        <x:v>Committed implementation, deployment link, or working demo</x:v>
      </x:c>
      <x:c r="E5" s="40" t="n">
        <x:v>0.01583333333333333</x:v>
      </x:c>
      <x:c r="F5" s="41" t="b">
        <x:v>0</x:v>
      </x:c>
      <x:c r="G5" s="39" t="str"/>
    </x:row>
    <x:row r="6">
      <x:c r="A6" s="39" t="str">
        <x:v>MODEL-04</x:v>
      </x:c>
      <x:c r="B6" s="39" t="str">
        <x:v>Test expected behavior</x:v>
      </x:c>
      <x:c r="C6" s="39" t="str">
        <x:v>Given valid and invalid scenarios, the feature should pass documented functional and edge-case checks.</x:v>
      </x:c>
      <x:c r="D6" s="39" t="str">
        <x:v>Test cases, screenshots, QA log, or automated test output</x:v>
      </x:c>
      <x:c r="E6" s="40" t="n">
        <x:v>0.01583333333333333</x:v>
      </x:c>
      <x:c r="F6" s="41" t="b">
        <x:v>0</x:v>
      </x:c>
      <x:c r="G6" s="39" t="str"/>
    </x:row>
    <x:row r="7">
      <x:c r="A7" s="39" t="str">
        <x:v>MODEL-05</x:v>
      </x:c>
      <x:c r="B7" s="39" t="str">
        <x:v>Resolve issues</x:v>
      </x:c>
      <x:c r="C7" s="39" t="str">
        <x:v>Given defects found during testing, all critical issues should be fixed and rechecked.</x:v>
      </x:c>
      <x:c r="D7" s="39" t="str">
        <x:v>Resolved issue list and retest evidence</x:v>
      </x:c>
      <x:c r="E7" s="40" t="n">
        <x:v>0.01583333333333333</x:v>
      </x:c>
      <x:c r="F7" s="41" t="b">
        <x:v>0</x:v>
      </x:c>
      <x:c r="G7" s="39" t="str"/>
    </x:row>
    <x:row r="8">
      <x:c r="A8" s="39" t="str">
        <x:v>MODEL-06</x:v>
      </x:c>
      <x:c r="B8" s="39" t="str">
        <x:v>Document work</x:v>
      </x:c>
      <x:c r="C8" s="39" t="str">
        <x:v>Given the completed work, the manuscript should explain the implementation, validation, and results clearly.</x:v>
      </x:c>
      <x:c r="D8" s="39" t="str">
        <x:v>Updated chapter, appendix, or technical documentation</x:v>
      </x:c>
      <x:c r="E8" s="40" t="n">
        <x:v>0.01583333333333333</x:v>
      </x:c>
      <x:c r="F8" s="41" t="b">
        <x:v>0</x:v>
      </x:c>
      <x:c r="G8" s="39" t="str"/>
    </x:row>
    <x:row r="9">
      <x:c r="A9" s="42" t="str">
        <x:v>Total Accomplished</x:v>
      </x:c>
      <x:c r="B9" s="42" t="str"/>
      <x:c r="C9" s="42" t="str"/>
      <x:c r="D9" s="42" t="str"/>
      <x:c r="E9" s="43" t="n">
        <x:f>SUM(E3:E8)</x:f>
        <x:v>0.095</x:v>
      </x:c>
      <x:c r="F9" s="43" t="n">
        <x:f>SUMIF(F3:F8, TRUE, E3:E8)</x:f>
        <x:v>0</x:v>
      </x:c>
      <x:c r="G9" s="42" t="str"/>
    </x:row>
    <x:row r="10">
      <x:c r="A10" s="44"/>
      <x:c r="B10" s="44"/>
      <x:c r="C10" s="44"/>
      <x:c r="D10" s="44"/>
      <x:c r="E10" s="44"/>
      <x:c r="F10" s="44"/>
      <x:c r="G10" s="44"/>
    </x:row>
    <x:row r="11" ht="21" customHeight="1">
      <x:c r="A11" s="37" t="str">
        <x:v>Task ID</x:v>
      </x:c>
      <x:c r="B11" s="37" t="str">
        <x:v>SIM</x:v>
      </x:c>
      <x:c r="C11" s="37" t="str">
        <x:v>Task Name</x:v>
      </x:c>
      <x:c r="D11" s="37" t="str">
        <x:v>Simulation and Prescriptive Logic</x:v>
      </x:c>
      <x:c r="E11" s="37" t="str"/>
      <x:c r="F11" s="37" t="str"/>
      <x:c r="G11" s="37" t="str"/>
    </x:row>
    <x:row r="12">
      <x:c r="A12" s="38" t="str">
        <x:v>Subtask ID</x:v>
      </x:c>
      <x:c r="B12" s="38" t="str">
        <x:v>Subtask Name</x:v>
      </x:c>
      <x:c r="C12" s="38" t="str">
        <x:v>Acceptance Criteria</x:v>
      </x:c>
      <x:c r="D12" s="38" t="str">
        <x:v>Evidence / Deliverable</x:v>
      </x:c>
      <x:c r="E12" s="38" t="str">
        <x:v>Weight Allocation</x:v>
      </x:c>
      <x:c r="F12" s="38" t="str">
        <x:v>Status</x:v>
      </x:c>
      <x:c r="G12" s="38" t="str">
        <x:v>Remarks</x:v>
      </x:c>
    </x:row>
    <x:row r="13">
      <x:c r="A13" s="39" t="str">
        <x:v>SIM-01</x:v>
      </x:c>
      <x:c r="B13" s="39" t="str">
        <x:v>Define requirements</x:v>
      </x:c>
      <x:c r="C13" s="39" t="str">
        <x:v>Given the approved project scope, requirements should be specific, measurable, and traceable to the system objectives.</x:v>
      </x:c>
      <x:c r="D13" s="39" t="str">
        <x:v>Requirements matrix or signed-off checklist</x:v>
      </x:c>
      <x:c r="E13" s="40" t="n">
        <x:v>0.01583333333333333</x:v>
      </x:c>
      <x:c r="F13" s="41" t="b">
        <x:v>0</x:v>
      </x:c>
      <x:c r="G13" s="39" t="str"/>
    </x:row>
    <x:row r="14">
      <x:c r="A14" s="39" t="str">
        <x:v>SIM-02</x:v>
      </x:c>
      <x:c r="B14" s="39" t="str">
        <x:v>Design solution</x:v>
      </x:c>
      <x:c r="C14" s="39" t="str">
        <x:v>Given the requirement set, the design should describe the expected user flow, data flow, or technical behavior.</x:v>
      </x:c>
      <x:c r="D14" s="39" t="str">
        <x:v>Wireframe, diagram, ERD, API contract, or design note</x:v>
      </x:c>
      <x:c r="E14" s="40" t="n">
        <x:v>0.01583333333333333</x:v>
      </x:c>
      <x:c r="F14" s="41" t="b">
        <x:v>0</x:v>
      </x:c>
      <x:c r="G14" s="39" t="str"/>
    </x:row>
    <x:row r="15">
      <x:c r="A15" s="39" t="str">
        <x:v>SIM-03</x:v>
      </x:c>
      <x:c r="B15" s="39" t="str">
        <x:v>Implement feature</x:v>
      </x:c>
      <x:c r="C15" s="39" t="str">
        <x:v>Given the approved design, the feature should work in the target environment and handle expected inputs.</x:v>
      </x:c>
      <x:c r="D15" s="39" t="str">
        <x:v>Committed implementation, deployment link, or working demo</x:v>
      </x:c>
      <x:c r="E15" s="40" t="n">
        <x:v>0.01583333333333333</x:v>
      </x:c>
      <x:c r="F15" s="41" t="b">
        <x:v>0</x:v>
      </x:c>
      <x:c r="G15" s="39" t="str"/>
    </x:row>
    <x:row r="16">
      <x:c r="A16" s="39" t="str">
        <x:v>SIM-04</x:v>
      </x:c>
      <x:c r="B16" s="39" t="str">
        <x:v>Test expected behavior</x:v>
      </x:c>
      <x:c r="C16" s="39" t="str">
        <x:v>Given valid and invalid scenarios, the feature should pass documented functional and edge-case checks.</x:v>
      </x:c>
      <x:c r="D16" s="39" t="str">
        <x:v>Test cases, screenshots, QA log, or automated test output</x:v>
      </x:c>
      <x:c r="E16" s="40" t="n">
        <x:v>0.01583333333333333</x:v>
      </x:c>
      <x:c r="F16" s="41" t="b">
        <x:v>0</x:v>
      </x:c>
      <x:c r="G16" s="39" t="str"/>
    </x:row>
    <x:row r="17">
      <x:c r="A17" s="39" t="str">
        <x:v>SIM-05</x:v>
      </x:c>
      <x:c r="B17" s="39" t="str">
        <x:v>Resolve issues</x:v>
      </x:c>
      <x:c r="C17" s="39" t="str">
        <x:v>Given defects found during testing, all critical issues should be fixed and rechecked.</x:v>
      </x:c>
      <x:c r="D17" s="39" t="str">
        <x:v>Resolved issue list and retest evidence</x:v>
      </x:c>
      <x:c r="E17" s="40" t="n">
        <x:v>0.01583333333333333</x:v>
      </x:c>
      <x:c r="F17" s="41" t="b">
        <x:v>0</x:v>
      </x:c>
      <x:c r="G17" s="39" t="str"/>
    </x:row>
    <x:row r="18">
      <x:c r="A18" s="39" t="str">
        <x:v>SIM-06</x:v>
      </x:c>
      <x:c r="B18" s="39" t="str">
        <x:v>Document work</x:v>
      </x:c>
      <x:c r="C18" s="39" t="str">
        <x:v>Given the completed work, the manuscript should explain the implementation, validation, and results clearly.</x:v>
      </x:c>
      <x:c r="D18" s="39" t="str">
        <x:v>Updated chapter, appendix, or technical documentation</x:v>
      </x:c>
      <x:c r="E18" s="40" t="n">
        <x:v>0.01583333333333333</x:v>
      </x:c>
      <x:c r="F18" s="41" t="b">
        <x:v>0</x:v>
      </x:c>
      <x:c r="G18" s="39" t="str"/>
    </x:row>
    <x:row r="19">
      <x:c r="A19" s="42" t="str">
        <x:v>Total Accomplished</x:v>
      </x:c>
      <x:c r="B19" s="42" t="str"/>
      <x:c r="C19" s="42" t="str"/>
      <x:c r="D19" s="42" t="str"/>
      <x:c r="E19" s="43" t="n">
        <x:f>SUM(E13:E18)</x:f>
        <x:v>0.095</x:v>
      </x:c>
      <x:c r="F19" s="43" t="n">
        <x:f>SUMIF(F13:F18, TRUE, E13:E18)</x:f>
        <x:v>0</x:v>
      </x:c>
      <x:c r="G19" s="42" t="str"/>
    </x:row>
    <x:row r="20">
      <x:c r="A20" s="44"/>
      <x:c r="B20" s="44"/>
      <x:c r="C20" s="44"/>
      <x:c r="D20" s="44"/>
      <x:c r="E20" s="44"/>
      <x:c r="F20" s="44"/>
      <x:c r="G20" s="44"/>
    </x:row>
    <x:row r="21" ht="21" customHeight="1">
      <x:c r="A21" s="37" t="str">
        <x:v>Task ID</x:v>
      </x:c>
      <x:c r="B21" s="37" t="str">
        <x:v>VAL</x:v>
      </x:c>
      <x:c r="C21" s="37" t="str">
        <x:v>Task Name</x:v>
      </x:c>
      <x:c r="D21" s="37" t="str">
        <x:v>Validation and Results Review</x:v>
      </x:c>
      <x:c r="E21" s="37" t="str"/>
      <x:c r="F21" s="37" t="str"/>
      <x:c r="G21" s="37" t="str"/>
    </x:row>
    <x:row r="22">
      <x:c r="A22" s="38" t="str">
        <x:v>Subtask ID</x:v>
      </x:c>
      <x:c r="B22" s="38" t="str">
        <x:v>Subtask Name</x:v>
      </x:c>
      <x:c r="C22" s="38" t="str">
        <x:v>Acceptance Criteria</x:v>
      </x:c>
      <x:c r="D22" s="38" t="str">
        <x:v>Evidence / Deliverable</x:v>
      </x:c>
      <x:c r="E22" s="38" t="str">
        <x:v>Weight Allocation</x:v>
      </x:c>
      <x:c r="F22" s="38" t="str">
        <x:v>Status</x:v>
      </x:c>
      <x:c r="G22" s="38" t="str">
        <x:v>Remarks</x:v>
      </x:c>
    </x:row>
    <x:row r="23">
      <x:c r="A23" s="39" t="str">
        <x:v>VAL-01</x:v>
      </x:c>
      <x:c r="B23" s="39" t="str">
        <x:v>Define requirements</x:v>
      </x:c>
      <x:c r="C23" s="39" t="str">
        <x:v>Given the approved project scope, requirements should be specific, measurable, and traceable to the system objectives.</x:v>
      </x:c>
      <x:c r="D23" s="39" t="str">
        <x:v>Requirements matrix or signed-off checklist</x:v>
      </x:c>
      <x:c r="E23" s="40" t="n">
        <x:v>0.01583333333333333</x:v>
      </x:c>
      <x:c r="F23" s="41" t="b">
        <x:v>0</x:v>
      </x:c>
      <x:c r="G23" s="39" t="str"/>
    </x:row>
    <x:row r="24">
      <x:c r="A24" s="39" t="str">
        <x:v>VAL-02</x:v>
      </x:c>
      <x:c r="B24" s="39" t="str">
        <x:v>Design solution</x:v>
      </x:c>
      <x:c r="C24" s="39" t="str">
        <x:v>Given the requirement set, the design should describe the expected user flow, data flow, or technical behavior.</x:v>
      </x:c>
      <x:c r="D24" s="39" t="str">
        <x:v>Wireframe, diagram, ERD, API contract, or design note</x:v>
      </x:c>
      <x:c r="E24" s="40" t="n">
        <x:v>0.01583333333333333</x:v>
      </x:c>
      <x:c r="F24" s="41" t="b">
        <x:v>0</x:v>
      </x:c>
      <x:c r="G24" s="39" t="str"/>
    </x:row>
    <x:row r="25">
      <x:c r="A25" s="39" t="str">
        <x:v>VAL-03</x:v>
      </x:c>
      <x:c r="B25" s="39" t="str">
        <x:v>Implement feature</x:v>
      </x:c>
      <x:c r="C25" s="39" t="str">
        <x:v>Given the approved design, the feature should work in the target environment and handle expected inputs.</x:v>
      </x:c>
      <x:c r="D25" s="39" t="str">
        <x:v>Committed implementation, deployment link, or working demo</x:v>
      </x:c>
      <x:c r="E25" s="40" t="n">
        <x:v>0.01583333333333333</x:v>
      </x:c>
      <x:c r="F25" s="41" t="b">
        <x:v>0</x:v>
      </x:c>
      <x:c r="G25" s="39" t="str"/>
    </x:row>
    <x:row r="26">
      <x:c r="A26" s="39" t="str">
        <x:v>VAL-04</x:v>
      </x:c>
      <x:c r="B26" s="39" t="str">
        <x:v>Test expected behavior</x:v>
      </x:c>
      <x:c r="C26" s="39" t="str">
        <x:v>Given valid and invalid scenarios, the feature should pass documented functional and edge-case checks.</x:v>
      </x:c>
      <x:c r="D26" s="39" t="str">
        <x:v>Test cases, screenshots, QA log, or automated test output</x:v>
      </x:c>
      <x:c r="E26" s="40" t="n">
        <x:v>0.01583333333333333</x:v>
      </x:c>
      <x:c r="F26" s="41" t="b">
        <x:v>0</x:v>
      </x:c>
      <x:c r="G26" s="39" t="str"/>
    </x:row>
    <x:row r="27">
      <x:c r="A27" s="39" t="str">
        <x:v>VAL-05</x:v>
      </x:c>
      <x:c r="B27" s="39" t="str">
        <x:v>Resolve issues</x:v>
      </x:c>
      <x:c r="C27" s="39" t="str">
        <x:v>Given defects found during testing, all critical issues should be fixed and rechecked.</x:v>
      </x:c>
      <x:c r="D27" s="39" t="str">
        <x:v>Resolved issue list and retest evidence</x:v>
      </x:c>
      <x:c r="E27" s="40" t="n">
        <x:v>0.01583333333333333</x:v>
      </x:c>
      <x:c r="F27" s="41" t="b">
        <x:v>0</x:v>
      </x:c>
      <x:c r="G27" s="39" t="str"/>
    </x:row>
    <x:row r="28">
      <x:c r="A28" s="39" t="str">
        <x:v>VAL-06</x:v>
      </x:c>
      <x:c r="B28" s="39" t="str">
        <x:v>Document work</x:v>
      </x:c>
      <x:c r="C28" s="39" t="str">
        <x:v>Given the completed work, the manuscript should explain the implementation, validation, and results clearly.</x:v>
      </x:c>
      <x:c r="D28" s="39" t="str">
        <x:v>Updated chapter, appendix, or technical documentation</x:v>
      </x:c>
      <x:c r="E28" s="40" t="n">
        <x:v>0.01583333333333333</x:v>
      </x:c>
      <x:c r="F28" s="41" t="b">
        <x:v>0</x:v>
      </x:c>
      <x:c r="G28" s="39" t="str"/>
    </x:row>
    <x:row r="29">
      <x:c r="A29" s="42" t="str">
        <x:v>Total Accomplished</x:v>
      </x:c>
      <x:c r="B29" s="42" t="str"/>
      <x:c r="C29" s="42" t="str"/>
      <x:c r="D29" s="42" t="str"/>
      <x:c r="E29" s="43" t="n">
        <x:f>SUM(E23:E28)</x:f>
        <x:v>0.095</x:v>
      </x:c>
      <x:c r="F29" s="43" t="n">
        <x:f>SUMIF(F23:F28, TRUE, E23:E28)</x:f>
        <x:v>0</x:v>
      </x:c>
      <x:c r="G29" s="42" t="str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5" t="str">
        <x:v>Module Accomplishment</x:v>
      </x:c>
      <x:c r="B32" s="45" t="str">
        <x:v>MOD-ANA</x:v>
      </x:c>
      <x:c r="C32" s="45" t="str">
        <x:v>Analytics, Models, and Simulation</x:v>
      </x:c>
      <x:c r="D32" s="45" t="str"/>
      <x:c r="E32" s="46" t="n">
        <x:v>0.285</x:v>
      </x:c>
      <x:c r="F32" s="46" t="n">
        <x:f>SUM('MOD-ANA'!F9,'MOD-ANA'!F19,'MOD-ANA'!F29)</x:f>
        <x:v>0</x:v>
      </x:c>
      <x:c r="G32" s="45" t="str"/>
    </x:row>
  </x:sheetData>
  <x:dataValidations count="3">
    <x:dataValidation type="list" sqref="F3:F8">
      <x:formula1>"TRUE,FALSE"</x:formula1>
    </x:dataValidation>
    <x:dataValidation type="list" sqref="F13:F18">
      <x:formula1>"TRUE,FALSE"</x:formula1>
    </x:dataValidation>
    <x:dataValidation type="list" sqref="F23:F28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9.3799991607666" hidden="0" customWidth="1"/>
    <x:col min="3" max="3" width="52.5" hidden="0" customWidth="1"/>
    <x:col min="4" max="4" width="45" hidden="0" customWidth="1"/>
    <x:col min="5" max="5" width="14.75" hidden="0" customWidth="1"/>
    <x:col min="6" max="6" width="13.130000114440918" hidden="0" customWidth="1"/>
    <x:col min="7" max="7" width="23.75" hidden="0" customWidth="1"/>
  </x:cols>
  <x:sheetData>
    <x:row r="1" ht="21" customHeight="1">
      <x:c r="A1" s="37" t="str">
        <x:v>Task ID</x:v>
      </x:c>
      <x:c r="B1" s="37" t="str">
        <x:v>HOST</x:v>
      </x:c>
      <x:c r="C1" s="37" t="str">
        <x:v>Task Name</x:v>
      </x:c>
      <x:c r="D1" s="37" t="str">
        <x:v>Hosting and Deployment</x:v>
      </x:c>
      <x:c r="E1" s="37" t="str"/>
      <x:c r="F1" s="37" t="str"/>
      <x:c r="G1" s="37" t="str"/>
    </x:row>
    <x:row r="2">
      <x:c r="A2" s="38" t="str">
        <x:v>Subtask ID</x:v>
      </x:c>
      <x:c r="B2" s="38" t="str">
        <x:v>Subtask Name</x:v>
      </x:c>
      <x:c r="C2" s="38" t="str">
        <x:v>Acceptance Criteria</x:v>
      </x:c>
      <x:c r="D2" s="38" t="str">
        <x:v>Evidence / Deliverable</x:v>
      </x:c>
      <x:c r="E2" s="38" t="str">
        <x:v>Weight Allocation</x:v>
      </x:c>
      <x:c r="F2" s="38" t="str">
        <x:v>Status</x:v>
      </x:c>
      <x:c r="G2" s="38" t="str">
        <x:v>Remarks</x:v>
      </x:c>
    </x:row>
    <x:row r="3">
      <x:c r="A3" s="39" t="str">
        <x:v>HOST-01</x:v>
      </x:c>
      <x:c r="B3" s="39" t="str">
        <x:v>Define requirements</x:v>
      </x:c>
      <x:c r="C3" s="39" t="str">
        <x:v>Given the approved project scope, requirements should be specific, measurable, and traceable to the system objectives.</x:v>
      </x:c>
      <x:c r="D3" s="39" t="str">
        <x:v>Requirements matrix or signed-off checklist</x:v>
      </x:c>
      <x:c r="E3" s="40" t="n">
        <x:v>0.0030555555555555557</x:v>
      </x:c>
      <x:c r="F3" s="41" t="b">
        <x:v>0</x:v>
      </x:c>
      <x:c r="G3" s="39" t="str"/>
    </x:row>
    <x:row r="4">
      <x:c r="A4" s="39" t="str">
        <x:v>HOST-02</x:v>
      </x:c>
      <x:c r="B4" s="39" t="str">
        <x:v>Design solution</x:v>
      </x:c>
      <x:c r="C4" s="39" t="str">
        <x:v>Given the requirement set, the design should describe the expected user flow, data flow, or technical behavior.</x:v>
      </x:c>
      <x:c r="D4" s="39" t="str">
        <x:v>Wireframe, diagram, ERD, API contract, or design note</x:v>
      </x:c>
      <x:c r="E4" s="40" t="n">
        <x:v>0.0030555555555555557</x:v>
      </x:c>
      <x:c r="F4" s="41" t="b">
        <x:v>0</x:v>
      </x:c>
      <x:c r="G4" s="39" t="str"/>
    </x:row>
    <x:row r="5">
      <x:c r="A5" s="39" t="str">
        <x:v>HOST-03</x:v>
      </x:c>
      <x:c r="B5" s="39" t="str">
        <x:v>Implement feature</x:v>
      </x:c>
      <x:c r="C5" s="39" t="str">
        <x:v>Given the approved design, the feature should work in the target environment and handle expected inputs.</x:v>
      </x:c>
      <x:c r="D5" s="39" t="str">
        <x:v>Committed implementation, deployment link, or working demo</x:v>
      </x:c>
      <x:c r="E5" s="40" t="n">
        <x:v>0.0030555555555555557</x:v>
      </x:c>
      <x:c r="F5" s="41" t="b">
        <x:v>0</x:v>
      </x:c>
      <x:c r="G5" s="39" t="str"/>
    </x:row>
    <x:row r="6">
      <x:c r="A6" s="39" t="str">
        <x:v>HOST-04</x:v>
      </x:c>
      <x:c r="B6" s="39" t="str">
        <x:v>Test expected behavior</x:v>
      </x:c>
      <x:c r="C6" s="39" t="str">
        <x:v>Given valid and invalid scenarios, the feature should pass documented functional and edge-case checks.</x:v>
      </x:c>
      <x:c r="D6" s="39" t="str">
        <x:v>Test cases, screenshots, QA log, or automated test output</x:v>
      </x:c>
      <x:c r="E6" s="40" t="n">
        <x:v>0.0030555555555555557</x:v>
      </x:c>
      <x:c r="F6" s="41" t="b">
        <x:v>0</x:v>
      </x:c>
      <x:c r="G6" s="39" t="str"/>
    </x:row>
    <x:row r="7">
      <x:c r="A7" s="39" t="str">
        <x:v>HOST-05</x:v>
      </x:c>
      <x:c r="B7" s="39" t="str">
        <x:v>Resolve issues</x:v>
      </x:c>
      <x:c r="C7" s="39" t="str">
        <x:v>Given defects found during testing, all critical issues should be fixed and rechecked.</x:v>
      </x:c>
      <x:c r="D7" s="39" t="str">
        <x:v>Resolved issue list and retest evidence</x:v>
      </x:c>
      <x:c r="E7" s="40" t="n">
        <x:v>0.0030555555555555557</x:v>
      </x:c>
      <x:c r="F7" s="41" t="b">
        <x:v>0</x:v>
      </x:c>
      <x:c r="G7" s="39" t="str"/>
    </x:row>
    <x:row r="8">
      <x:c r="A8" s="39" t="str">
        <x:v>HOST-06</x:v>
      </x:c>
      <x:c r="B8" s="39" t="str">
        <x:v>Document work</x:v>
      </x:c>
      <x:c r="C8" s="39" t="str">
        <x:v>Given the completed work, the manuscript should explain the implementation, validation, and results clearly.</x:v>
      </x:c>
      <x:c r="D8" s="39" t="str">
        <x:v>Updated chapter, appendix, or technical documentation</x:v>
      </x:c>
      <x:c r="E8" s="40" t="n">
        <x:v>0.0030555555555555557</x:v>
      </x:c>
      <x:c r="F8" s="41" t="b">
        <x:v>0</x:v>
      </x:c>
      <x:c r="G8" s="39" t="str"/>
    </x:row>
    <x:row r="9">
      <x:c r="A9" s="42" t="str">
        <x:v>Total Accomplished</x:v>
      </x:c>
      <x:c r="B9" s="42" t="str"/>
      <x:c r="C9" s="42" t="str"/>
      <x:c r="D9" s="42" t="str"/>
      <x:c r="E9" s="43" t="n">
        <x:f>SUM(E3:E8)</x:f>
        <x:v>0.018333333333333333</x:v>
      </x:c>
      <x:c r="F9" s="43" t="n">
        <x:f>SUMIF(F3:F8, TRUE, E3:E8)</x:f>
        <x:v>0</x:v>
      </x:c>
      <x:c r="G9" s="42" t="str"/>
    </x:row>
    <x:row r="10">
      <x:c r="A10" s="44"/>
      <x:c r="B10" s="44"/>
      <x:c r="C10" s="44"/>
      <x:c r="D10" s="44"/>
      <x:c r="E10" s="44"/>
      <x:c r="F10" s="44"/>
      <x:c r="G10" s="44"/>
    </x:row>
    <x:row r="11" ht="21" customHeight="1">
      <x:c r="A11" s="37" t="str">
        <x:v>Task ID</x:v>
      </x:c>
      <x:c r="B11" s="37" t="str">
        <x:v>REPO</x:v>
      </x:c>
      <x:c r="C11" s="37" t="str">
        <x:v>Task Name</x:v>
      </x:c>
      <x:c r="D11" s="37" t="str">
        <x:v>Repository and Branch Management</x:v>
      </x:c>
      <x:c r="E11" s="37" t="str"/>
      <x:c r="F11" s="37" t="str"/>
      <x:c r="G11" s="37" t="str"/>
    </x:row>
    <x:row r="12">
      <x:c r="A12" s="38" t="str">
        <x:v>Subtask ID</x:v>
      </x:c>
      <x:c r="B12" s="38" t="str">
        <x:v>Subtask Name</x:v>
      </x:c>
      <x:c r="C12" s="38" t="str">
        <x:v>Acceptance Criteria</x:v>
      </x:c>
      <x:c r="D12" s="38" t="str">
        <x:v>Evidence / Deliverable</x:v>
      </x:c>
      <x:c r="E12" s="38" t="str">
        <x:v>Weight Allocation</x:v>
      </x:c>
      <x:c r="F12" s="38" t="str">
        <x:v>Status</x:v>
      </x:c>
      <x:c r="G12" s="38" t="str">
        <x:v>Remarks</x:v>
      </x:c>
    </x:row>
    <x:row r="13">
      <x:c r="A13" s="39" t="str">
        <x:v>REPO-01</x:v>
      </x:c>
      <x:c r="B13" s="39" t="str">
        <x:v>Define requirements</x:v>
      </x:c>
      <x:c r="C13" s="39" t="str">
        <x:v>Given the approved project scope, requirements should be specific, measurable, and traceable to the system objectives.</x:v>
      </x:c>
      <x:c r="D13" s="39" t="str">
        <x:v>Requirements matrix or signed-off checklist</x:v>
      </x:c>
      <x:c r="E13" s="40" t="n">
        <x:v>0.0030555555555555557</x:v>
      </x:c>
      <x:c r="F13" s="41" t="b">
        <x:v>0</x:v>
      </x:c>
      <x:c r="G13" s="39" t="str"/>
    </x:row>
    <x:row r="14">
      <x:c r="A14" s="39" t="str">
        <x:v>REPO-02</x:v>
      </x:c>
      <x:c r="B14" s="39" t="str">
        <x:v>Design solution</x:v>
      </x:c>
      <x:c r="C14" s="39" t="str">
        <x:v>Given the requirement set, the design should describe the expected user flow, data flow, or technical behavior.</x:v>
      </x:c>
      <x:c r="D14" s="39" t="str">
        <x:v>Wireframe, diagram, ERD, API contract, or design note</x:v>
      </x:c>
      <x:c r="E14" s="40" t="n">
        <x:v>0.0030555555555555557</x:v>
      </x:c>
      <x:c r="F14" s="41" t="b">
        <x:v>0</x:v>
      </x:c>
      <x:c r="G14" s="39" t="str"/>
    </x:row>
    <x:row r="15">
      <x:c r="A15" s="39" t="str">
        <x:v>REPO-03</x:v>
      </x:c>
      <x:c r="B15" s="39" t="str">
        <x:v>Implement feature</x:v>
      </x:c>
      <x:c r="C15" s="39" t="str">
        <x:v>Given the approved design, the feature should work in the target environment and handle expected inputs.</x:v>
      </x:c>
      <x:c r="D15" s="39" t="str">
        <x:v>Committed implementation, deployment link, or working demo</x:v>
      </x:c>
      <x:c r="E15" s="40" t="n">
        <x:v>0.0030555555555555557</x:v>
      </x:c>
      <x:c r="F15" s="41" t="b">
        <x:v>0</x:v>
      </x:c>
      <x:c r="G15" s="39" t="str"/>
    </x:row>
    <x:row r="16">
      <x:c r="A16" s="39" t="str">
        <x:v>REPO-04</x:v>
      </x:c>
      <x:c r="B16" s="39" t="str">
        <x:v>Test expected behavior</x:v>
      </x:c>
      <x:c r="C16" s="39" t="str">
        <x:v>Given valid and invalid scenarios, the feature should pass documented functional and edge-case checks.</x:v>
      </x:c>
      <x:c r="D16" s="39" t="str">
        <x:v>Test cases, screenshots, QA log, or automated test output</x:v>
      </x:c>
      <x:c r="E16" s="40" t="n">
        <x:v>0.0030555555555555557</x:v>
      </x:c>
      <x:c r="F16" s="41" t="b">
        <x:v>0</x:v>
      </x:c>
      <x:c r="G16" s="39" t="str"/>
    </x:row>
    <x:row r="17">
      <x:c r="A17" s="39" t="str">
        <x:v>REPO-05</x:v>
      </x:c>
      <x:c r="B17" s="39" t="str">
        <x:v>Resolve issues</x:v>
      </x:c>
      <x:c r="C17" s="39" t="str">
        <x:v>Given defects found during testing, all critical issues should be fixed and rechecked.</x:v>
      </x:c>
      <x:c r="D17" s="39" t="str">
        <x:v>Resolved issue list and retest evidence</x:v>
      </x:c>
      <x:c r="E17" s="40" t="n">
        <x:v>0.0030555555555555557</x:v>
      </x:c>
      <x:c r="F17" s="41" t="b">
        <x:v>0</x:v>
      </x:c>
      <x:c r="G17" s="39" t="str"/>
    </x:row>
    <x:row r="18">
      <x:c r="A18" s="39" t="str">
        <x:v>REPO-06</x:v>
      </x:c>
      <x:c r="B18" s="39" t="str">
        <x:v>Document work</x:v>
      </x:c>
      <x:c r="C18" s="39" t="str">
        <x:v>Given the completed work, the manuscript should explain the implementation, validation, and results clearly.</x:v>
      </x:c>
      <x:c r="D18" s="39" t="str">
        <x:v>Updated chapter, appendix, or technical documentation</x:v>
      </x:c>
      <x:c r="E18" s="40" t="n">
        <x:v>0.0030555555555555557</x:v>
      </x:c>
      <x:c r="F18" s="41" t="b">
        <x:v>0</x:v>
      </x:c>
      <x:c r="G18" s="39" t="str"/>
    </x:row>
    <x:row r="19">
      <x:c r="A19" s="42" t="str">
        <x:v>Total Accomplished</x:v>
      </x:c>
      <x:c r="B19" s="42" t="str"/>
      <x:c r="C19" s="42" t="str"/>
      <x:c r="D19" s="42" t="str"/>
      <x:c r="E19" s="43" t="n">
        <x:f>SUM(E13:E18)</x:f>
        <x:v>0.018333333333333333</x:v>
      </x:c>
      <x:c r="F19" s="43" t="n">
        <x:f>SUMIF(F13:F18, TRUE, E13:E18)</x:f>
        <x:v>0</x:v>
      </x:c>
      <x:c r="G19" s="42" t="str"/>
    </x:row>
    <x:row r="20">
      <x:c r="A20" s="44"/>
      <x:c r="B20" s="44"/>
      <x:c r="C20" s="44"/>
      <x:c r="D20" s="44"/>
      <x:c r="E20" s="44"/>
      <x:c r="F20" s="44"/>
      <x:c r="G20" s="44"/>
    </x:row>
    <x:row r="21" ht="21" customHeight="1">
      <x:c r="A21" s="37" t="str">
        <x:v>Task ID</x:v>
      </x:c>
      <x:c r="B21" s="37" t="str">
        <x:v>PM</x:v>
      </x:c>
      <x:c r="C21" s="37" t="str">
        <x:v>Task Name</x:v>
      </x:c>
      <x:c r="D21" s="37" t="str">
        <x:v>Project Management and QA</x:v>
      </x:c>
      <x:c r="E21" s="37" t="str"/>
      <x:c r="F21" s="37" t="str"/>
      <x:c r="G21" s="37" t="str"/>
    </x:row>
    <x:row r="22">
      <x:c r="A22" s="38" t="str">
        <x:v>Subtask ID</x:v>
      </x:c>
      <x:c r="B22" s="38" t="str">
        <x:v>Subtask Name</x:v>
      </x:c>
      <x:c r="C22" s="38" t="str">
        <x:v>Acceptance Criteria</x:v>
      </x:c>
      <x:c r="D22" s="38" t="str">
        <x:v>Evidence / Deliverable</x:v>
      </x:c>
      <x:c r="E22" s="38" t="str">
        <x:v>Weight Allocation</x:v>
      </x:c>
      <x:c r="F22" s="38" t="str">
        <x:v>Status</x:v>
      </x:c>
      <x:c r="G22" s="38" t="str">
        <x:v>Remarks</x:v>
      </x:c>
    </x:row>
    <x:row r="23">
      <x:c r="A23" s="39" t="str">
        <x:v>PM-01</x:v>
      </x:c>
      <x:c r="B23" s="39" t="str">
        <x:v>Define requirements</x:v>
      </x:c>
      <x:c r="C23" s="39" t="str">
        <x:v>Given the approved project scope, requirements should be specific, measurable, and traceable to the system objectives.</x:v>
      </x:c>
      <x:c r="D23" s="39" t="str">
        <x:v>Requirements matrix or signed-off checklist</x:v>
      </x:c>
      <x:c r="E23" s="40" t="n">
        <x:v>0.0030555555555555557</x:v>
      </x:c>
      <x:c r="F23" s="41" t="b">
        <x:v>0</x:v>
      </x:c>
      <x:c r="G23" s="39" t="str"/>
    </x:row>
    <x:row r="24">
      <x:c r="A24" s="39" t="str">
        <x:v>PM-02</x:v>
      </x:c>
      <x:c r="B24" s="39" t="str">
        <x:v>Design solution</x:v>
      </x:c>
      <x:c r="C24" s="39" t="str">
        <x:v>Given the requirement set, the design should describe the expected user flow, data flow, or technical behavior.</x:v>
      </x:c>
      <x:c r="D24" s="39" t="str">
        <x:v>Wireframe, diagram, ERD, API contract, or design note</x:v>
      </x:c>
      <x:c r="E24" s="40" t="n">
        <x:v>0.0030555555555555557</x:v>
      </x:c>
      <x:c r="F24" s="41" t="b">
        <x:v>0</x:v>
      </x:c>
      <x:c r="G24" s="39" t="str"/>
    </x:row>
    <x:row r="25">
      <x:c r="A25" s="39" t="str">
        <x:v>PM-03</x:v>
      </x:c>
      <x:c r="B25" s="39" t="str">
        <x:v>Implement feature</x:v>
      </x:c>
      <x:c r="C25" s="39" t="str">
        <x:v>Given the approved design, the feature should work in the target environment and handle expected inputs.</x:v>
      </x:c>
      <x:c r="D25" s="39" t="str">
        <x:v>Committed implementation, deployment link, or working demo</x:v>
      </x:c>
      <x:c r="E25" s="40" t="n">
        <x:v>0.0030555555555555557</x:v>
      </x:c>
      <x:c r="F25" s="41" t="b">
        <x:v>0</x:v>
      </x:c>
      <x:c r="G25" s="39" t="str"/>
    </x:row>
    <x:row r="26">
      <x:c r="A26" s="39" t="str">
        <x:v>PM-04</x:v>
      </x:c>
      <x:c r="B26" s="39" t="str">
        <x:v>Test expected behavior</x:v>
      </x:c>
      <x:c r="C26" s="39" t="str">
        <x:v>Given valid and invalid scenarios, the feature should pass documented functional and edge-case checks.</x:v>
      </x:c>
      <x:c r="D26" s="39" t="str">
        <x:v>Test cases, screenshots, QA log, or automated test output</x:v>
      </x:c>
      <x:c r="E26" s="40" t="n">
        <x:v>0.0030555555555555557</x:v>
      </x:c>
      <x:c r="F26" s="41" t="b">
        <x:v>0</x:v>
      </x:c>
      <x:c r="G26" s="39" t="str"/>
    </x:row>
    <x:row r="27">
      <x:c r="A27" s="39" t="str">
        <x:v>PM-05</x:v>
      </x:c>
      <x:c r="B27" s="39" t="str">
        <x:v>Resolve issues</x:v>
      </x:c>
      <x:c r="C27" s="39" t="str">
        <x:v>Given defects found during testing, all critical issues should be fixed and rechecked.</x:v>
      </x:c>
      <x:c r="D27" s="39" t="str">
        <x:v>Resolved issue list and retest evidence</x:v>
      </x:c>
      <x:c r="E27" s="40" t="n">
        <x:v>0.0030555555555555557</x:v>
      </x:c>
      <x:c r="F27" s="41" t="b">
        <x:v>0</x:v>
      </x:c>
      <x:c r="G27" s="39" t="str"/>
    </x:row>
    <x:row r="28">
      <x:c r="A28" s="39" t="str">
        <x:v>PM-06</x:v>
      </x:c>
      <x:c r="B28" s="39" t="str">
        <x:v>Document work</x:v>
      </x:c>
      <x:c r="C28" s="39" t="str">
        <x:v>Given the completed work, the manuscript should explain the implementation, validation, and results clearly.</x:v>
      </x:c>
      <x:c r="D28" s="39" t="str">
        <x:v>Updated chapter, appendix, or technical documentation</x:v>
      </x:c>
      <x:c r="E28" s="40" t="n">
        <x:v>0.0030555555555555557</x:v>
      </x:c>
      <x:c r="F28" s="41" t="b">
        <x:v>0</x:v>
      </x:c>
      <x:c r="G28" s="39" t="str"/>
    </x:row>
    <x:row r="29">
      <x:c r="A29" s="42" t="str">
        <x:v>Total Accomplished</x:v>
      </x:c>
      <x:c r="B29" s="42" t="str"/>
      <x:c r="C29" s="42" t="str"/>
      <x:c r="D29" s="42" t="str"/>
      <x:c r="E29" s="43" t="n">
        <x:f>SUM(E23:E28)</x:f>
        <x:v>0.018333333333333333</x:v>
      </x:c>
      <x:c r="F29" s="43" t="n">
        <x:f>SUMIF(F23:F28, TRUE, E23:E28)</x:f>
        <x:v>0</x:v>
      </x:c>
      <x:c r="G29" s="42" t="str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5" t="str">
        <x:v>Module Accomplishment</x:v>
      </x:c>
      <x:c r="B32" s="45" t="str">
        <x:v>CORE</x:v>
      </x:c>
      <x:c r="C32" s="45" t="str">
        <x:v>Deployment, Repository, and Project Management</x:v>
      </x:c>
      <x:c r="D32" s="45" t="str"/>
      <x:c r="E32" s="46" t="n">
        <x:v>0.055</x:v>
      </x:c>
      <x:c r="F32" s="46" t="n">
        <x:f>SUM('CORE'!F9,'CORE'!F19,'CORE'!F29)</x:f>
        <x:v>0</x:v>
      </x:c>
      <x:c r="G32" s="45" t="str"/>
    </x:row>
  </x:sheetData>
  <x:dataValidations count="3">
    <x:dataValidation type="list" sqref="F3:F8">
      <x:formula1>"TRUE,FALSE"</x:formula1>
    </x:dataValidation>
    <x:dataValidation type="list" sqref="F13:F18">
      <x:formula1>"TRUE,FALSE"</x:formula1>
    </x:dataValidation>
    <x:dataValidation type="list" sqref="F23:F28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9.3799991607666" hidden="0" customWidth="1"/>
    <x:col min="3" max="3" width="52.5" hidden="0" customWidth="1"/>
    <x:col min="4" max="4" width="45" hidden="0" customWidth="1"/>
    <x:col min="5" max="5" width="14.75" hidden="0" customWidth="1"/>
    <x:col min="6" max="6" width="13.130000114440918" hidden="0" customWidth="1"/>
    <x:col min="7" max="7" width="23.75" hidden="0" customWidth="1"/>
  </x:cols>
  <x:sheetData>
    <x:row r="1" ht="21" customHeight="1">
      <x:c r="A1" s="37" t="str">
        <x:v>Task ID</x:v>
      </x:c>
      <x:c r="B1" s="37" t="str">
        <x:v>DOC</x:v>
      </x:c>
      <x:c r="C1" s="37" t="str">
        <x:v>Task Name</x:v>
      </x:c>
      <x:c r="D1" s="37" t="str">
        <x:v>Capstone Manuscript Revisions</x:v>
      </x:c>
      <x:c r="E1" s="37" t="str"/>
      <x:c r="F1" s="37" t="str"/>
      <x:c r="G1" s="37" t="str"/>
    </x:row>
    <x:row r="2">
      <x:c r="A2" s="38" t="str">
        <x:v>Subtask ID</x:v>
      </x:c>
      <x:c r="B2" s="38" t="str">
        <x:v>Subtask Name</x:v>
      </x:c>
      <x:c r="C2" s="38" t="str">
        <x:v>Acceptance Criteria</x:v>
      </x:c>
      <x:c r="D2" s="38" t="str">
        <x:v>Evidence / Deliverable</x:v>
      </x:c>
      <x:c r="E2" s="38" t="str">
        <x:v>Weight Allocation</x:v>
      </x:c>
      <x:c r="F2" s="38" t="str">
        <x:v>Status</x:v>
      </x:c>
      <x:c r="G2" s="38" t="str">
        <x:v>Remarks</x:v>
      </x:c>
    </x:row>
    <x:row r="3">
      <x:c r="A3" s="39" t="str">
        <x:v>DOC-01</x:v>
      </x:c>
      <x:c r="B3" s="39" t="str">
        <x:v>Define requirements</x:v>
      </x:c>
      <x:c r="C3" s="39" t="str">
        <x:v>Given the approved project scope, requirements should be specific, measurable, and traceable to the system objectives.</x:v>
      </x:c>
      <x:c r="D3" s="39" t="str">
        <x:v>Requirements matrix or signed-off checklist</x:v>
      </x:c>
      <x:c r="E3" s="40" t="n">
        <x:v>0.008333333333333333</x:v>
      </x:c>
      <x:c r="F3" s="41" t="b">
        <x:v>0</x:v>
      </x:c>
      <x:c r="G3" s="39" t="str"/>
    </x:row>
    <x:row r="4">
      <x:c r="A4" s="39" t="str">
        <x:v>DOC-02</x:v>
      </x:c>
      <x:c r="B4" s="39" t="str">
        <x:v>Design solution</x:v>
      </x:c>
      <x:c r="C4" s="39" t="str">
        <x:v>Given the requirement set, the design should describe the expected user flow, data flow, or technical behavior.</x:v>
      </x:c>
      <x:c r="D4" s="39" t="str">
        <x:v>Wireframe, diagram, ERD, API contract, or design note</x:v>
      </x:c>
      <x:c r="E4" s="40" t="n">
        <x:v>0.008333333333333333</x:v>
      </x:c>
      <x:c r="F4" s="41" t="b">
        <x:v>0</x:v>
      </x:c>
      <x:c r="G4" s="39" t="str"/>
    </x:row>
    <x:row r="5">
      <x:c r="A5" s="39" t="str">
        <x:v>DOC-03</x:v>
      </x:c>
      <x:c r="B5" s="39" t="str">
        <x:v>Implement feature</x:v>
      </x:c>
      <x:c r="C5" s="39" t="str">
        <x:v>Given the approved design, the feature should work in the target environment and handle expected inputs.</x:v>
      </x:c>
      <x:c r="D5" s="39" t="str">
        <x:v>Committed implementation, deployment link, or working demo</x:v>
      </x:c>
      <x:c r="E5" s="40" t="n">
        <x:v>0.008333333333333333</x:v>
      </x:c>
      <x:c r="F5" s="41" t="b">
        <x:v>0</x:v>
      </x:c>
      <x:c r="G5" s="39" t="str"/>
    </x:row>
    <x:row r="6">
      <x:c r="A6" s="39" t="str">
        <x:v>DOC-04</x:v>
      </x:c>
      <x:c r="B6" s="39" t="str">
        <x:v>Test expected behavior</x:v>
      </x:c>
      <x:c r="C6" s="39" t="str">
        <x:v>Given valid and invalid scenarios, the feature should pass documented functional and edge-case checks.</x:v>
      </x:c>
      <x:c r="D6" s="39" t="str">
        <x:v>Test cases, screenshots, QA log, or automated test output</x:v>
      </x:c>
      <x:c r="E6" s="40" t="n">
        <x:v>0.008333333333333333</x:v>
      </x:c>
      <x:c r="F6" s="41" t="b">
        <x:v>0</x:v>
      </x:c>
      <x:c r="G6" s="39" t="str"/>
    </x:row>
    <x:row r="7">
      <x:c r="A7" s="39" t="str">
        <x:v>DOC-05</x:v>
      </x:c>
      <x:c r="B7" s="39" t="str">
        <x:v>Resolve issues</x:v>
      </x:c>
      <x:c r="C7" s="39" t="str">
        <x:v>Given defects found during testing, all critical issues should be fixed and rechecked.</x:v>
      </x:c>
      <x:c r="D7" s="39" t="str">
        <x:v>Resolved issue list and retest evidence</x:v>
      </x:c>
      <x:c r="E7" s="40" t="n">
        <x:v>0.008333333333333333</x:v>
      </x:c>
      <x:c r="F7" s="41" t="b">
        <x:v>0</x:v>
      </x:c>
      <x:c r="G7" s="39" t="str"/>
    </x:row>
    <x:row r="8">
      <x:c r="A8" s="39" t="str">
        <x:v>DOC-06</x:v>
      </x:c>
      <x:c r="B8" s="39" t="str">
        <x:v>Document work</x:v>
      </x:c>
      <x:c r="C8" s="39" t="str">
        <x:v>Given the completed work, the manuscript should explain the implementation, validation, and results clearly.</x:v>
      </x:c>
      <x:c r="D8" s="39" t="str">
        <x:v>Updated chapter, appendix, or technical documentation</x:v>
      </x:c>
      <x:c r="E8" s="40" t="n">
        <x:v>0.008333333333333333</x:v>
      </x:c>
      <x:c r="F8" s="41" t="b">
        <x:v>0</x:v>
      </x:c>
      <x:c r="G8" s="39" t="str"/>
    </x:row>
    <x:row r="9">
      <x:c r="A9" s="42" t="str">
        <x:v>Total Accomplished</x:v>
      </x:c>
      <x:c r="B9" s="42" t="str"/>
      <x:c r="C9" s="42" t="str"/>
      <x:c r="D9" s="42" t="str"/>
      <x:c r="E9" s="43" t="n">
        <x:f>SUM(E3:E8)</x:f>
        <x:v>0.049999999999999996</x:v>
      </x:c>
      <x:c r="F9" s="43" t="n">
        <x:f>SUMIF(F3:F8, TRUE, E3:E8)</x:f>
        <x:v>0</x:v>
      </x:c>
      <x:c r="G9" s="42" t="str"/>
    </x:row>
    <x:row r="10">
      <x:c r="A10" s="44"/>
      <x:c r="B10" s="44"/>
      <x:c r="C10" s="44"/>
      <x:c r="D10" s="44"/>
      <x:c r="E10" s="44"/>
      <x:c r="F10" s="44"/>
      <x:c r="G10" s="44"/>
    </x:row>
    <x:row r="11" ht="21" customHeight="1">
      <x:c r="A11" s="37" t="str">
        <x:v>Task ID</x:v>
      </x:c>
      <x:c r="B11" s="37" t="str">
        <x:v>APPX</x:v>
      </x:c>
      <x:c r="C11" s="37" t="str">
        <x:v>Task Name</x:v>
      </x:c>
      <x:c r="D11" s="37" t="str">
        <x:v>Appendices and References</x:v>
      </x:c>
      <x:c r="E11" s="37" t="str"/>
      <x:c r="F11" s="37" t="str"/>
      <x:c r="G11" s="37" t="str"/>
    </x:row>
    <x:row r="12">
      <x:c r="A12" s="38" t="str">
        <x:v>Subtask ID</x:v>
      </x:c>
      <x:c r="B12" s="38" t="str">
        <x:v>Subtask Name</x:v>
      </x:c>
      <x:c r="C12" s="38" t="str">
        <x:v>Acceptance Criteria</x:v>
      </x:c>
      <x:c r="D12" s="38" t="str">
        <x:v>Evidence / Deliverable</x:v>
      </x:c>
      <x:c r="E12" s="38" t="str">
        <x:v>Weight Allocation</x:v>
      </x:c>
      <x:c r="F12" s="38" t="str">
        <x:v>Status</x:v>
      </x:c>
      <x:c r="G12" s="38" t="str">
        <x:v>Remarks</x:v>
      </x:c>
    </x:row>
    <x:row r="13">
      <x:c r="A13" s="39" t="str">
        <x:v>APPX-01</x:v>
      </x:c>
      <x:c r="B13" s="39" t="str">
        <x:v>Define requirements</x:v>
      </x:c>
      <x:c r="C13" s="39" t="str">
        <x:v>Given the approved project scope, requirements should be specific, measurable, and traceable to the system objectives.</x:v>
      </x:c>
      <x:c r="D13" s="39" t="str">
        <x:v>Requirements matrix or signed-off checklist</x:v>
      </x:c>
      <x:c r="E13" s="40" t="n">
        <x:v>0.008333333333333333</x:v>
      </x:c>
      <x:c r="F13" s="41" t="b">
        <x:v>0</x:v>
      </x:c>
      <x:c r="G13" s="39" t="str"/>
    </x:row>
    <x:row r="14">
      <x:c r="A14" s="39" t="str">
        <x:v>APPX-02</x:v>
      </x:c>
      <x:c r="B14" s="39" t="str">
        <x:v>Design solution</x:v>
      </x:c>
      <x:c r="C14" s="39" t="str">
        <x:v>Given the requirement set, the design should describe the expected user flow, data flow, or technical behavior.</x:v>
      </x:c>
      <x:c r="D14" s="39" t="str">
        <x:v>Wireframe, diagram, ERD, API contract, or design note</x:v>
      </x:c>
      <x:c r="E14" s="40" t="n">
        <x:v>0.008333333333333333</x:v>
      </x:c>
      <x:c r="F14" s="41" t="b">
        <x:v>0</x:v>
      </x:c>
      <x:c r="G14" s="39" t="str"/>
    </x:row>
    <x:row r="15">
      <x:c r="A15" s="39" t="str">
        <x:v>APPX-03</x:v>
      </x:c>
      <x:c r="B15" s="39" t="str">
        <x:v>Implement feature</x:v>
      </x:c>
      <x:c r="C15" s="39" t="str">
        <x:v>Given the approved design, the feature should work in the target environment and handle expected inputs.</x:v>
      </x:c>
      <x:c r="D15" s="39" t="str">
        <x:v>Committed implementation, deployment link, or working demo</x:v>
      </x:c>
      <x:c r="E15" s="40" t="n">
        <x:v>0.008333333333333333</x:v>
      </x:c>
      <x:c r="F15" s="41" t="b">
        <x:v>0</x:v>
      </x:c>
      <x:c r="G15" s="39" t="str"/>
    </x:row>
    <x:row r="16">
      <x:c r="A16" s="39" t="str">
        <x:v>APPX-04</x:v>
      </x:c>
      <x:c r="B16" s="39" t="str">
        <x:v>Test expected behavior</x:v>
      </x:c>
      <x:c r="C16" s="39" t="str">
        <x:v>Given valid and invalid scenarios, the feature should pass documented functional and edge-case checks.</x:v>
      </x:c>
      <x:c r="D16" s="39" t="str">
        <x:v>Test cases, screenshots, QA log, or automated test output</x:v>
      </x:c>
      <x:c r="E16" s="40" t="n">
        <x:v>0.008333333333333333</x:v>
      </x:c>
      <x:c r="F16" s="41" t="b">
        <x:v>0</x:v>
      </x:c>
      <x:c r="G16" s="39" t="str"/>
    </x:row>
    <x:row r="17">
      <x:c r="A17" s="39" t="str">
        <x:v>APPX-05</x:v>
      </x:c>
      <x:c r="B17" s="39" t="str">
        <x:v>Resolve issues</x:v>
      </x:c>
      <x:c r="C17" s="39" t="str">
        <x:v>Given defects found during testing, all critical issues should be fixed and rechecked.</x:v>
      </x:c>
      <x:c r="D17" s="39" t="str">
        <x:v>Resolved issue list and retest evidence</x:v>
      </x:c>
      <x:c r="E17" s="40" t="n">
        <x:v>0.008333333333333333</x:v>
      </x:c>
      <x:c r="F17" s="41" t="b">
        <x:v>0</x:v>
      </x:c>
      <x:c r="G17" s="39" t="str"/>
    </x:row>
    <x:row r="18">
      <x:c r="A18" s="39" t="str">
        <x:v>APPX-06</x:v>
      </x:c>
      <x:c r="B18" s="39" t="str">
        <x:v>Document work</x:v>
      </x:c>
      <x:c r="C18" s="39" t="str">
        <x:v>Given the completed work, the manuscript should explain the implementation, validation, and results clearly.</x:v>
      </x:c>
      <x:c r="D18" s="39" t="str">
        <x:v>Updated chapter, appendix, or technical documentation</x:v>
      </x:c>
      <x:c r="E18" s="40" t="n">
        <x:v>0.008333333333333333</x:v>
      </x:c>
      <x:c r="F18" s="41" t="b">
        <x:v>0</x:v>
      </x:c>
      <x:c r="G18" s="39" t="str"/>
    </x:row>
    <x:row r="19">
      <x:c r="A19" s="42" t="str">
        <x:v>Total Accomplished</x:v>
      </x:c>
      <x:c r="B19" s="42" t="str"/>
      <x:c r="C19" s="42" t="str"/>
      <x:c r="D19" s="42" t="str"/>
      <x:c r="E19" s="43" t="n">
        <x:f>SUM(E13:E18)</x:f>
        <x:v>0.049999999999999996</x:v>
      </x:c>
      <x:c r="F19" s="43" t="n">
        <x:f>SUMIF(F13:F18, TRUE, E13:E18)</x:f>
        <x:v>0</x:v>
      </x:c>
      <x:c r="G19" s="42" t="str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5" t="str">
        <x:v>Module Accomplishment</x:v>
      </x:c>
      <x:c r="B22" s="45" t="str">
        <x:v>MANUSCRIPT</x:v>
      </x:c>
      <x:c r="C22" s="45" t="str">
        <x:v>Manuscript and Documentation</x:v>
      </x:c>
      <x:c r="D22" s="45" t="str"/>
      <x:c r="E22" s="46" t="n">
        <x:v>0.1</x:v>
      </x:c>
      <x:c r="F22" s="46" t="n">
        <x:f>SUM('MANUSCRIPT'!F9,'MANUSCRIPT'!F19)</x:f>
        <x:v>0</x:v>
      </x:c>
      <x:c r="G22" s="45" t="str"/>
    </x:row>
  </x:sheetData>
  <x:dataValidations count="2">
    <x:dataValidation type="list" sqref="F3:F8">
      <x:formula1>"TRUE,FALSE"</x:formula1>
    </x:dataValidation>
    <x:dataValidation type="list" sqref="F13:F18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.7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</x:cols>
  <x:sheetData>
    <x:row r="2">
      <x:c r="B2" s="4" t="str">
        <x:v>Acceptance Criteria Tracker Template</x:v>
      </x:c>
      <x:c r="C2" s="4" t="str"/>
      <x:c r="D2" s="4" t="str"/>
      <x:c r="E2" s="4" t="str"/>
      <x:c r="F2" s="4" t="str"/>
    </x:row>
    <x:row r="4">
      <x:c r="B4" s="16" t="str">
        <x:v>How to use</x:v>
      </x:c>
      <x:c r="C4" s="16" t="str">
        <x:v>Edit module names, groups, task descriptions, acceptance criteria, evidence, and remarks.</x:v>
      </x:c>
      <x:c r="D4" s="16" t="str"/>
      <x:c r="E4" s="16" t="str"/>
      <x:c r="F4" s="16" t="str"/>
    </x:row>
    <x:row r="5">
      <x:c r="B5" s="16" t="str">
        <x:v>Weights</x:v>
      </x:c>
      <x:c r="C5" s="16" t="str">
        <x:v>Keep total system weight at 100%. Task weights roll up to module and project accomplishment.</x:v>
      </x:c>
      <x:c r="D5" s="16" t="str"/>
      <x:c r="E5" s="16" t="str"/>
      <x:c r="F5" s="16" t="str"/>
    </x:row>
    <x:row r="6">
      <x:c r="B6" s="16" t="str">
        <x:v>Status</x:v>
      </x:c>
      <x:c r="C6" s="16" t="str">
        <x:v>Set status cells to TRUE when the subtask is accepted. Formulas calculate accomplishment.</x:v>
      </x:c>
      <x:c r="D6" s="16" t="str"/>
      <x:c r="E6" s="16" t="str"/>
      <x:c r="F6" s="16" t="str"/>
    </x:row>
    <x:row r="7">
      <x:c r="B7" s="16" t="str">
        <x:v>Google Sheets</x:v>
      </x:c>
      <x:c r="C7" s="16" t="str">
        <x:v>Formulas use standard SUM and SUMIF patterns designed to import cleanly.</x:v>
      </x:c>
      <x:c r="D7" s="16" t="str"/>
      <x:c r="E7" s="16" t="str"/>
      <x:c r="F7" s="16" t="str"/>
    </x:row>
    <x:row r="8">
      <x:c r="B8" s="16" t="str">
        <x:v>Output</x:v>
      </x:c>
      <x:c r="C8" s="16" t="str">
        <x:v>Use the DISTRIBUTION tab for overall progress and module tabs for detailed acceptance criteria.</x:v>
      </x:c>
      <x:c r="D8" s="16" t="str"/>
      <x:c r="E8" s="16" t="str"/>
      <x:c r="F8" s="16" t="str"/>
    </x:row>
  </x:sheetData>
  <x:mergeCells>
    <x:mergeCell ref="B2:F2"/>
  </x:mergeCells>
  <x:pageMargins left="0.7" right="0.7" top="0.75" bottom="0.75" header="0.3" footer="0.3"/>
</x:worksheet>
</file>