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091b0f5e842418d" /></Relationships>
</file>

<file path=xl/workbook.xml><?xml version="1.0" encoding="utf-8"?>
<x:workbook xmlns:x="http://schemas.openxmlformats.org/spreadsheetml/2006/main">
  <x:sheets>
    <x:sheet xmlns:r="http://schemas.openxmlformats.org/officeDocument/2006/relationships" name="DISTRIBUTION" sheetId="1" r:id="R556095f4408549bf"/>
    <x:sheet xmlns:r="http://schemas.openxmlformats.org/officeDocument/2006/relationships" name="MOD-FE" sheetId="2" r:id="R57612825cad24b9e"/>
    <x:sheet xmlns:r="http://schemas.openxmlformats.org/officeDocument/2006/relationships" name="MOD-BE" sheetId="3" r:id="Rc3dfc36e2d874514"/>
    <x:sheet xmlns:r="http://schemas.openxmlformats.org/officeDocument/2006/relationships" name="MOD-DB" sheetId="4" r:id="R30b0fe1786dd4e6f"/>
    <x:sheet xmlns:r="http://schemas.openxmlformats.org/officeDocument/2006/relationships" name="MOD-ANA" sheetId="5" r:id="Rfcd54132fc994c7d"/>
    <x:sheet xmlns:r="http://schemas.openxmlformats.org/officeDocument/2006/relationships" name="CORE" sheetId="6" r:id="Ra4a6e810e5ad4743"/>
    <x:sheet xmlns:r="http://schemas.openxmlformats.org/officeDocument/2006/relationships" name="MANUSCRIPT" sheetId="7" r:id="R62fa3336e5af4491"/>
    <x:sheet xmlns:r="http://schemas.openxmlformats.org/officeDocument/2006/relationships" name="README" sheetId="8" r:id="R8d566ec0405e484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4">
    <x:font>
      <x:sz val="11"/>
      <x:name val="Carlito"/>
    </x:font>
    <x:font>
      <x:b/>
      <x:sz val="11"/>
      <x:color rgb="FFFFFFFF"/>
      <x:name val="Carlito"/>
    </x:font>
    <x:font>
      <x:b/>
      <x:sz val="11"/>
      <x:color rgb="FF1F2933"/>
      <x:name val="Carlito"/>
    </x:font>
    <x:font>
      <x:sz val="11"/>
      <x:color rgb="FF1F2933"/>
      <x:name val="Carlito"/>
    </x:font>
  </x:fonts>
  <x:fills count="7">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FFFFFF"/>
      </x:patternFill>
    </x:fill>
    <x:fill>
      <x:patternFill patternType="solid">
        <x:fgColor rgb="FFE2F0D9"/>
      </x:patternFill>
    </x:fill>
    <x:fill>
      <x:patternFill patternType="solid">
        <x:fgColor rgb="FFFFF2CC"/>
      </x:patternFill>
    </x:fill>
  </x:fills>
  <x:borders count="2">
    <x:border/>
    <x:border>
      <x:left style="thin">
        <x:color rgb="FFB7C9D6"/>
      </x:left>
      <x:right style="thin">
        <x:color rgb="FFB7C9D6"/>
      </x:right>
      <x:top style="thin">
        <x:color rgb="FFB7C9D6"/>
      </x:top>
      <x:bottom style="thin">
        <x:color rgb="FFB7C9D6"/>
      </x:bottom>
    </x:border>
  </x:borders>
  <x:cellStyleXfs count="1">
    <x:xf numFmtId="0" fontId="0" fillId="0" borderId="0"/>
  </x:cellStyleXfs>
  <x:cellXfs count="3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0" borderId="0" xfId="0">
      <x:extLst>
        <x:ext uri="{C7286773-470A-42A8-94C5-96B5CB345126}">
          <xfpb:xfComplement xmlns:xfpb="http://schemas.microsoft.com/office/spreadsheetml/2022/featurepropertybag" i="0"/>
        </x:ext>
      </x:extLst>
    </x:xf>
    <x:xf numFmtId="0" fontId="0" fillId="4" borderId="0" xfId="0" applyNumberFormat="1" applyFont="1" applyFill="1" applyBorder="1"/>
    <x:xf numFmtId="0" fontId="0" fillId="4" borderId="0" xfId="0" applyNumberFormat="1" applyFont="1" applyFill="1" applyBorder="1">
      <x:extLst>
        <x:ext uri="{C7286773-470A-42A8-94C5-96B5CB345126}">
          <xfpb:xfComplement xmlns:xfpb="http://schemas.microsoft.com/office/spreadsheetml/2022/featurepropertybag" i="0"/>
        </x:ext>
      </x:extLst>
    </x:xf>
    <x:xf numFmtId="0" fontId="3" fillId="4" borderId="0" xfId="0" applyNumberFormat="1" applyFont="1" applyFill="1" applyBorder="1"/>
    <x:xf numFmtId="0" fontId="3" fillId="4" borderId="0" xfId="0" applyNumberFormat="1" applyFont="1" applyFill="1" applyBorder="1">
      <x:extLst>
        <x:ext uri="{C7286773-470A-42A8-94C5-96B5CB345126}">
          <xfpb:xfComplement xmlns:xfpb="http://schemas.microsoft.com/office/spreadsheetml/2022/featurepropertybag" i="0"/>
        </x:ext>
      </x:extLst>
    </x:xf>
    <x:xf numFmtId="0" fontId="3" fillId="4" borderId="1" xfId="0" applyNumberFormat="1" applyFont="1" applyFill="1" applyBorder="1"/>
    <x:xf numFmtId="0" fontId="3" fillId="4" borderId="1" xfId="0" applyNumberFormat="1" applyFont="1" applyFill="1" applyBorder="1">
      <x:extLst>
        <x:ext uri="{C7286773-470A-42A8-94C5-96B5CB345126}">
          <xfpb:xfComplement xmlns:xfpb="http://schemas.microsoft.com/office/spreadsheetml/2022/featurepropertybag" i="0"/>
        </x:ext>
      </x:extLst>
    </x:xf>
    <x:xf numFmtId="0" fontId="3" fillId="4" borderId="1" xfId="0" applyNumberFormat="1" applyFont="1" applyFill="1" applyBorder="1" applyAlignment="1">
      <x:alignment wrapText="1"/>
    </x:xf>
    <x:xf numFmtId="0" fontId="3" fillId="4"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200" fontId="3" fillId="4" borderId="1" xfId="0" applyNumberFormat="1" applyFont="1" applyFill="1" applyBorder="1" applyAlignment="1">
      <x:alignment wrapText="1"/>
    </x:xf>
    <x:xf numFmtId="200" fontId="0" fillId="0" borderId="0" xfId="0" applyNumberFormat="1" applyFont="1" applyFill="1" applyBorder="1"/>
    <x:xf numFmtId="0" fontId="0" fillId="5" borderId="0" xfId="0" applyNumberFormat="1" applyFont="1" applyFill="1" applyBorder="1"/>
    <x:xf numFmtId="200" fontId="0" fillId="5" borderId="0" xfId="0" applyNumberFormat="1" applyFont="1" applyFill="1" applyBorder="1"/>
    <x:xf numFmtId="0" fontId="2" fillId="5" borderId="0" xfId="0" applyNumberFormat="1" applyFont="1" applyFill="1" applyBorder="1"/>
    <x:xf numFmtId="200" fontId="2" fillId="5" borderId="0" xfId="0" applyNumberFormat="1" applyFont="1" applyFill="1" applyBorder="1"/>
    <x:xf numFmtId="0" fontId="2" fillId="5" borderId="1" xfId="0" applyNumberFormat="1" applyFont="1" applyFill="1" applyBorder="1"/>
    <x:xf numFmtId="200" fontId="2" fillId="5" borderId="1" xfId="0" applyNumberFormat="1" applyFont="1" applyFill="1" applyBorder="1"/>
    <x:xf numFmtId="0" fontId="2" fillId="5" borderId="1" xfId="0" applyNumberFormat="1" applyFont="1" applyFill="1" applyBorder="1" applyAlignment="1">
      <x:alignment wrapText="1"/>
    </x:xf>
    <x:xf numFmtId="200" fontId="2" fillId="5" borderId="1" xfId="0" applyNumberFormat="1" applyFont="1" applyFill="1" applyBorder="1" applyAlignment="1">
      <x:alignment wrapText="1"/>
    </x:xf>
    <x:xf numFmtId="0" fontId="0" fillId="6" borderId="0" xfId="0" applyNumberFormat="1" applyFont="1" applyFill="1" applyBorder="1"/>
    <x:xf numFmtId="200" fontId="0" fillId="6" borderId="0" xfId="0" applyNumberFormat="1" applyFont="1" applyFill="1" applyBorder="1"/>
    <x:xf numFmtId="0" fontId="2" fillId="6" borderId="0" xfId="0" applyNumberFormat="1" applyFont="1" applyFill="1" applyBorder="1"/>
    <x:xf numFmtId="200" fontId="2" fillId="6" borderId="0" xfId="0" applyNumberFormat="1" applyFont="1" applyFill="1" applyBorder="1"/>
    <x:xf numFmtId="0" fontId="2" fillId="6" borderId="1" xfId="0" applyNumberFormat="1" applyFont="1" applyFill="1" applyBorder="1"/>
    <x:xf numFmtId="200" fontId="2" fillId="6" borderId="1" xfId="0" applyNumberFormat="1" applyFont="1" applyFill="1" applyBorder="1"/>
    <x:xf numFmtId="0" fontId="2" fillId="6" borderId="1" xfId="0" applyNumberFormat="1" applyFont="1" applyFill="1" applyBorder="1" applyAlignment="1">
      <x:alignment wrapText="1"/>
    </x:xf>
    <x:xf numFmtId="200" fontId="2" fillId="6" borderId="1" xfId="0" applyNumberFormat="1" applyFont="1" applyFill="1" applyBorder="1" applyAlignment="1">
      <x:alignment wrapText="1"/>
    </x:xf>
    <x:xf numFmtId="200" fontId="0" fillId="4" borderId="0" xfId="0" applyNumberFormat="1" applyFont="1" applyFill="1" applyBorder="1"/>
    <x:xf numFmtId="200" fontId="3" fillId="4" borderId="0" xfId="0" applyNumberFormat="1" applyFont="1" applyFill="1" applyBorder="1"/>
    <x:xf numFmtId="200" fontId="3" fillId="4"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473c32e6adb4c83" /><Relationship Type="http://schemas.openxmlformats.org/officeDocument/2006/relationships/theme" Target="/xl/theme/theme1.xml" Id="Ra9d82c5d403c431a" /><Relationship Type="http://schemas.microsoft.com/office/2022/11/relationships/FeaturePropertyBag" Target="/xl/featurePropertyBag/featurePropertyBag.xml" Id="R2d226b815ea34643" /><Relationship Type="http://schemas.openxmlformats.org/officeDocument/2006/relationships/sharedStrings" Target="/xl/sharedStrings.xml" Id="Ra42b2fa3c00f46fe" /><Relationship Type="http://schemas.openxmlformats.org/officeDocument/2006/relationships/worksheet" Target="/xl/worksheets/sheet1.xml" Id="R556095f4408549bf" /><Relationship Type="http://schemas.openxmlformats.org/officeDocument/2006/relationships/worksheet" Target="/xl/worksheets/sheet2.xml" Id="R57612825cad24b9e" /><Relationship Type="http://schemas.openxmlformats.org/officeDocument/2006/relationships/worksheet" Target="/xl/worksheets/sheet3.xml" Id="Rc3dfc36e2d874514" /><Relationship Type="http://schemas.openxmlformats.org/officeDocument/2006/relationships/worksheet" Target="/xl/worksheets/sheet4.xml" Id="R30b0fe1786dd4e6f" /><Relationship Type="http://schemas.openxmlformats.org/officeDocument/2006/relationships/worksheet" Target="/xl/worksheets/sheet5.xml" Id="Rfcd54132fc994c7d" /><Relationship Type="http://schemas.openxmlformats.org/officeDocument/2006/relationships/worksheet" Target="/xl/worksheets/sheet6.xml" Id="Ra4a6e810e5ad4743" /><Relationship Type="http://schemas.openxmlformats.org/officeDocument/2006/relationships/worksheet" Target="/xl/worksheets/sheet7.xml" Id="R62fa3336e5af4491" /><Relationship Type="http://schemas.openxmlformats.org/officeDocument/2006/relationships/worksheet" Target="/xl/worksheets/sheet8.xml" Id="R8d566ec0405e484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2" max="2" width="17.5" hidden="0" customWidth="1"/>
    <x:col min="3" max="3" width="42.5" hidden="0" customWidth="1"/>
    <x:col min="4" max="4" width="20" hidden="0" customWidth="1"/>
    <x:col min="5" max="5" width="20" hidden="0" customWidth="1"/>
    <x:col min="6" max="6" width="20" hidden="0" customWidth="1"/>
  </x:cols>
  <x:sheetData>
    <x:row r="2">
      <x:c r="B2" s="4" t="str">
        <x:v>Module Code</x:v>
      </x:c>
      <x:c r="C2" s="4" t="str">
        <x:v>Module Description</x:v>
      </x:c>
      <x:c r="D2" s="4" t="str">
        <x:v>ClickUp Task Count</x:v>
      </x:c>
      <x:c r="E2" s="4" t="str">
        <x:v>System Weight Allocation</x:v>
      </x:c>
      <x:c r="F2" s="4" t="str">
        <x:v>Actual Accomplishment</x:v>
      </x:c>
    </x:row>
    <x:row r="3">
      <x:c r="B3" s="16" t="str">
        <x:v>MOD-FE</x:v>
      </x:c>
      <x:c r="C3" s="16" t="str">
        <x:v>Frontend User Interface</x:v>
      </x:c>
      <x:c r="D3" s="16" t="n">
        <x:v>20</x:v>
      </x:c>
      <x:c r="E3" s="18" t="n">
        <x:v>0.245</x:v>
      </x:c>
      <x:c r="F3" s="18" t="n">
        <x:f>'MOD-FE'!G248</x:f>
        <x:v>0</x:v>
      </x:c>
    </x:row>
    <x:row r="4">
      <x:c r="B4" s="16" t="str">
        <x:v>MOD-BE</x:v>
      </x:c>
      <x:c r="C4" s="16" t="str">
        <x:v>Backend and API Services</x:v>
      </x:c>
      <x:c r="D4" s="16" t="n">
        <x:v>16</x:v>
      </x:c>
      <x:c r="E4" s="18" t="n">
        <x:v>0.235</x:v>
      </x:c>
      <x:c r="F4" s="18" t="n">
        <x:f>'MOD-BE'!G189</x:f>
        <x:v>0</x:v>
      </x:c>
    </x:row>
    <x:row r="5">
      <x:c r="B5" s="16" t="str">
        <x:v>MOD-DB</x:v>
      </x:c>
      <x:c r="C5" s="16" t="str">
        <x:v>Database, ETL, and Storage Layers</x:v>
      </x:c>
      <x:c r="D5" s="16" t="n">
        <x:v>10</x:v>
      </x:c>
      <x:c r="E5" s="18" t="n">
        <x:v>0.08</x:v>
      </x:c>
      <x:c r="F5" s="18" t="n">
        <x:f>'MOD-DB'!G105</x:f>
        <x:v>0</x:v>
      </x:c>
    </x:row>
    <x:row r="6">
      <x:c r="B6" s="16" t="str">
        <x:v>MOD-ANA</x:v>
      </x:c>
      <x:c r="C6" s="16" t="str">
        <x:v>Analytics, Models, and Decision Support</x:v>
      </x:c>
      <x:c r="D6" s="16" t="n">
        <x:v>6</x:v>
      </x:c>
      <x:c r="E6" s="18" t="n">
        <x:v>0.285</x:v>
      </x:c>
      <x:c r="F6" s="18" t="n">
        <x:f>'MOD-ANA'!G70</x:f>
        <x:v>0</x:v>
      </x:c>
    </x:row>
    <x:row r="7">
      <x:c r="B7" s="16" t="str">
        <x:v>CORE</x:v>
      </x:c>
      <x:c r="C7" s="16" t="str">
        <x:v>Hosting, Repository, and Project Management</x:v>
      </x:c>
      <x:c r="D7" s="16" t="n">
        <x:v>2</x:v>
      </x:c>
      <x:c r="E7" s="18" t="n">
        <x:v>0.055</x:v>
      </x:c>
      <x:c r="F7" s="18" t="n">
        <x:f>'CORE'!G22</x:f>
        <x:v>0</x:v>
      </x:c>
    </x:row>
    <x:row r="8">
      <x:c r="B8" s="16" t="str">
        <x:v>MANUSCRIPT</x:v>
      </x:c>
      <x:c r="C8" s="16" t="str">
        <x:v>Manuscript and Documentation</x:v>
      </x:c>
      <x:c r="D8" s="16" t="n">
        <x:v>6</x:v>
      </x:c>
      <x:c r="E8" s="18" t="n">
        <x:v>0.1</x:v>
      </x:c>
      <x:c r="F8" s="18" t="n">
        <x:f>'MANUSCRIPT'!G62</x:f>
        <x:v>0</x:v>
      </x:c>
    </x:row>
    <x:row r="9">
      <x:c r="B9" s="26" t="str">
        <x:v>TOTAL</x:v>
      </x:c>
      <x:c r="C9" s="26" t="str">
        <x:v>PAULUS Project Scope</x:v>
      </x:c>
      <x:c r="D9" s="26" t="n">
        <x:f>SUM(D3:D8)</x:f>
        <x:v>60</x:v>
      </x:c>
      <x:c r="E9" s="27" t="n">
        <x:f>SUM(E3:E8)</x:f>
        <x:v>1</x:v>
      </x:c>
      <x:c r="F9" s="27" t="n">
        <x:f>SUM(F3:F8)</x:f>
        <x:v>0</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32.5" hidden="0" customWidth="1"/>
    <x:col min="3" max="3" width="47.5" hidden="0" customWidth="1"/>
    <x:col min="4" max="4" width="42.5" hidden="0" customWidth="1"/>
    <x:col min="5" max="5" width="15" hidden="0" customWidth="1"/>
    <x:col min="6" max="6" width="16.8799991607666" hidden="0" customWidth="1"/>
    <x:col min="7" max="7" width="16.8799991607666" hidden="0" customWidth="1"/>
    <x:col min="8" max="8" width="28.75" hidden="0" customWidth="1"/>
  </x:cols>
  <x:sheetData>
    <x:row r="1">
      <x:c r="A1" s="4" t="str">
        <x:v>Task ID</x:v>
      </x:c>
      <x:c r="B1" s="4" t="str">
        <x:v>LOGIN</x:v>
      </x:c>
      <x:c r="C1" s="4" t="str">
        <x:v>Task Name</x:v>
      </x:c>
      <x:c r="D1" s="4" t="str">
        <x:v>Login and User Access Interface</x:v>
      </x:c>
      <x:c r="E1" s="4" t="str"/>
      <x:c r="F1" s="4" t="str">
        <x:v>for qa / internal testing</x:v>
      </x:c>
      <x:c r="G1" s="4" t="str"/>
      <x:c r="H1" s="4" t="str">
        <x:v>https://app.clickup.com/t/86d38tg64</x:v>
      </x:c>
    </x:row>
    <x:row r="2">
      <x:c r="A2" s="8" t="str">
        <x:v>Subtask ID</x:v>
      </x:c>
      <x:c r="B2" s="8" t="str">
        <x:v>Subtask / Task Name</x:v>
      </x:c>
      <x:c r="C2" s="8" t="str">
        <x:v>Acceptance Criteria</x:v>
      </x:c>
      <x:c r="D2" s="8" t="str">
        <x:v>Evidence / Deliverable</x:v>
      </x:c>
      <x:c r="E2" s="8" t="str">
        <x:v>Weight Allocation</x:v>
      </x:c>
      <x:c r="F2" s="8" t="str">
        <x:v>ClickUp Status</x:v>
      </x:c>
      <x:c r="G2" s="8" t="str">
        <x:v>Accepted</x:v>
      </x:c>
      <x:c r="H2" s="8" t="str">
        <x:v>ClickUp URL</x:v>
      </x:c>
    </x:row>
    <x:row r="3">
      <x:c r="A3" s="16" t="str">
        <x:v>REQ-01</x:v>
      </x:c>
      <x:c r="B3" s="16" t="str">
        <x:v>Define login interface requirements</x:v>
      </x:c>
      <x:c r="C3" s="16" t="str">
        <x:v>Given the PAULUS Define login interface requirements task is implemented, the feature should meet the approved capstone requirements and pass review against its expected behavior.</x:v>
      </x:c>
      <x:c r="D3" s="16" t="str">
        <x:v>ClickUp task evidence, implementation output, QA notes, screenshots, tests, or manuscript updates for Define login interface requirements.</x:v>
      </x:c>
      <x:c r="E3" s="18" t="n">
        <x:v>0.00153125</x:v>
      </x:c>
      <x:c r="F3" s="16" t="str">
        <x:v>planning/backlog</x:v>
      </x:c>
      <x:c r="G3" s="17" t="b">
        <x:v>0</x:v>
      </x:c>
      <x:c r="H3" s="16" t="str">
        <x:v>https://app.clickup.com/t/86d390mdr</x:v>
      </x:c>
    </x:row>
    <x:row r="4">
      <x:c r="A4" s="16" t="str">
        <x:v>DES-01</x:v>
      </x:c>
      <x:c r="B4" s="16" t="str">
        <x:v>Design login page wireframe</x:v>
      </x:c>
      <x:c r="C4" s="16" t="str">
        <x:v>Given the PAULUS Design login page wireframe task is implemented, the feature should meet the approved capstone requirements and pass review against its expected behavior.</x:v>
      </x:c>
      <x:c r="D4" s="16" t="str">
        <x:v>ClickUp task evidence, implementation output, QA notes, screenshots, tests, or manuscript updates for Design login page wireframe.</x:v>
      </x:c>
      <x:c r="E4" s="18" t="n">
        <x:v>0.00153125</x:v>
      </x:c>
      <x:c r="F4" s="16" t="str">
        <x:v>planning/backlog</x:v>
      </x:c>
      <x:c r="G4" s="17" t="b">
        <x:v>0</x:v>
      </x:c>
      <x:c r="H4" s="16" t="str">
        <x:v>https://app.clickup.com/t/86d390mgb</x:v>
      </x:c>
    </x:row>
    <x:row r="5">
      <x:c r="A5" s="16" t="str">
        <x:v>DEV-01</x:v>
      </x:c>
      <x:c r="B5" s="16" t="str">
        <x:v>Build login page layout</x:v>
      </x:c>
      <x:c r="C5" s="16" t="str">
        <x:v>Given the PAULUS Build login page layout task is implemented, the feature should meet the approved capstone requirements and pass review against its expected behavior.</x:v>
      </x:c>
      <x:c r="D5" s="16" t="str">
        <x:v>ClickUp task evidence, implementation output, QA notes, screenshots, tests, or manuscript updates for Build login page layout.</x:v>
      </x:c>
      <x:c r="E5" s="18" t="n">
        <x:v>0.00153125</x:v>
      </x:c>
      <x:c r="F5" s="16" t="str">
        <x:v>planning/backlog</x:v>
      </x:c>
      <x:c r="G5" s="17" t="b">
        <x:v>0</x:v>
      </x:c>
      <x:c r="H5" s="16" t="str">
        <x:v>https://app.clickup.com/t/86d390mke</x:v>
      </x:c>
    </x:row>
    <x:row r="6">
      <x:c r="A6" s="16" t="str">
        <x:v>DEV-02</x:v>
      </x:c>
      <x:c r="B6" s="16" t="str">
        <x:v>Connect login form to authentication API</x:v>
      </x:c>
      <x:c r="C6" s="16" t="str">
        <x:v>Given the PAULUS Connect login form to authentication API task is implemented, the feature should meet the approved capstone requirements and pass review against its expected behavior.</x:v>
      </x:c>
      <x:c r="D6" s="16" t="str">
        <x:v>ClickUp task evidence, implementation output, QA notes, screenshots, tests, or manuscript updates for Connect login form to authentication API.</x:v>
      </x:c>
      <x:c r="E6" s="18" t="n">
        <x:v>0.00153125</x:v>
      </x:c>
      <x:c r="F6" s="16" t="str">
        <x:v>planning/backlog</x:v>
      </x:c>
      <x:c r="G6" s="17" t="b">
        <x:v>0</x:v>
      </x:c>
      <x:c r="H6" s="16" t="str">
        <x:v>https://app.clickup.com/t/86d390mp8</x:v>
      </x:c>
    </x:row>
    <x:row r="7">
      <x:c r="A7" s="16" t="str">
        <x:v>TEST-01</x:v>
      </x:c>
      <x:c r="B7" s="16" t="str">
        <x:v>Test valid and invalid login behavior</x:v>
      </x:c>
      <x:c r="C7" s="16" t="str">
        <x:v>Given the PAULUS Test valid and invalid login behavior task is implemented, the feature should meet the approved capstone requirements and pass review against its expected behavior.</x:v>
      </x:c>
      <x:c r="D7" s="16" t="str">
        <x:v>ClickUp task evidence, implementation output, QA notes, screenshots, tests, or manuscript updates for Test valid and invalid login behavior.</x:v>
      </x:c>
      <x:c r="E7" s="18" t="n">
        <x:v>0.00153125</x:v>
      </x:c>
      <x:c r="F7" s="16" t="str">
        <x:v>planning/backlog</x:v>
      </x:c>
      <x:c r="G7" s="17" t="b">
        <x:v>0</x:v>
      </x:c>
      <x:c r="H7" s="16" t="str">
        <x:v>https://app.clickup.com/t/86d390mrn</x:v>
      </x:c>
    </x:row>
    <x:row r="8">
      <x:c r="A8" s="16" t="str">
        <x:v>FIX-01</x:v>
      </x:c>
      <x:c r="B8" s="16" t="str">
        <x:v>Resolve login form and validation issues</x:v>
      </x:c>
      <x:c r="C8" s="16" t="str">
        <x:v>Given the PAULUS Resolve login form and validation issues task is implemented, the feature should meet the approved capstone requirements and pass review against its expected behavior.</x:v>
      </x:c>
      <x:c r="D8" s="16" t="str">
        <x:v>ClickUp task evidence, implementation output, QA notes, screenshots, tests, or manuscript updates for Resolve login form and validation issues.</x:v>
      </x:c>
      <x:c r="E8" s="18" t="n">
        <x:v>0.00153125</x:v>
      </x:c>
      <x:c r="F8" s="16" t="str">
        <x:v>planning/backlog</x:v>
      </x:c>
      <x:c r="G8" s="17" t="b">
        <x:v>0</x:v>
      </x:c>
      <x:c r="H8" s="16" t="str">
        <x:v>https://app.clickup.com/t/86d390muz</x:v>
      </x:c>
    </x:row>
    <x:row r="9">
      <x:c r="A9" s="16" t="str">
        <x:v>UAT-01</x:v>
      </x:c>
      <x:c r="B9" s="16" t="str">
        <x:v>Validate login process with target users</x:v>
      </x:c>
      <x:c r="C9" s="16" t="str">
        <x:v>Given the PAULUS Validate login process with target users task is implemented, the feature should meet the approved capstone requirements and pass review against its expected behavior.</x:v>
      </x:c>
      <x:c r="D9" s="16" t="str">
        <x:v>ClickUp task evidence, implementation output, QA notes, screenshots, tests, or manuscript updates for Validate login process with target users.</x:v>
      </x:c>
      <x:c r="E9" s="18" t="n">
        <x:v>0.00153125</x:v>
      </x:c>
      <x:c r="F9" s="16" t="str">
        <x:v>planning/backlog</x:v>
      </x:c>
      <x:c r="G9" s="17" t="b">
        <x:v>0</x:v>
      </x:c>
      <x:c r="H9" s="16" t="str">
        <x:v>https://app.clickup.com/t/86d390mxy</x:v>
      </x:c>
    </x:row>
    <x:row r="10">
      <x:c r="A10" s="16" t="str">
        <x:v>MS-01</x:v>
      </x:c>
      <x:c r="B10" s="16" t="str">
        <x:v>Document login interface in Chapter 4</x:v>
      </x:c>
      <x:c r="C10" s="16" t="str">
        <x:v>Given the PAULUS Document login interface in Chapter 4 task is implemented, the feature should meet the approved capstone requirements and pass review against its expected behavior.</x:v>
      </x:c>
      <x:c r="D10" s="16" t="str">
        <x:v>ClickUp task evidence, implementation output, QA notes, screenshots, tests, or manuscript updates for Document login interface in Chapter 4.</x:v>
      </x:c>
      <x:c r="E10" s="18" t="n">
        <x:v>0.00153125</x:v>
      </x:c>
      <x:c r="F10" s="16" t="str">
        <x:v>planning/backlog</x:v>
      </x:c>
      <x:c r="G10" s="17" t="b">
        <x:v>0</x:v>
      </x:c>
      <x:c r="H10" s="16" t="str">
        <x:v>https://app.clickup.com/t/86d390n0p</x:v>
      </x:c>
    </x:row>
    <x:row r="11">
      <x:c r="A11" s="26" t="str">
        <x:v>Total Accomplished</x:v>
      </x:c>
      <x:c r="B11" s="26" t="str"/>
      <x:c r="C11" s="26" t="str"/>
      <x:c r="D11" s="26" t="str"/>
      <x:c r="E11" s="27" t="n">
        <x:f>SUM(E3:E10)</x:f>
        <x:v>0.012249999999999999</x:v>
      </x:c>
      <x:c r="F11" s="27" t="str"/>
      <x:c r="G11" s="27" t="n">
        <x:f>SUMIF(G3:G10, TRUE, E3:E10)</x:f>
        <x:v>0</x:v>
      </x:c>
      <x:c r="H11" s="26" t="str"/>
    </x:row>
    <x:row r="13">
      <x:c r="A13" s="4" t="str">
        <x:v>Task ID</x:v>
      </x:c>
      <x:c r="B13" s="4" t="str">
        <x:v>DASH</x:v>
      </x:c>
      <x:c r="C13" s="4" t="str">
        <x:v>Task Name</x:v>
      </x:c>
      <x:c r="D13" s="4" t="str">
        <x:v>Main Financial Dashboard</x:v>
      </x:c>
      <x:c r="E13" s="4" t="str"/>
      <x:c r="F13" s="4" t="str">
        <x:v>for qa / internal testing</x:v>
      </x:c>
      <x:c r="G13" s="4" t="str"/>
      <x:c r="H13" s="4" t="str">
        <x:v>https://app.clickup.com/t/86d38tg6m</x:v>
      </x:c>
    </x:row>
    <x:row r="14">
      <x:c r="A14" s="8" t="str">
        <x:v>Subtask ID</x:v>
      </x:c>
      <x:c r="B14" s="8" t="str">
        <x:v>Subtask / Task Name</x:v>
      </x:c>
      <x:c r="C14" s="8" t="str">
        <x:v>Acceptance Criteria</x:v>
      </x:c>
      <x:c r="D14" s="8" t="str">
        <x:v>Evidence / Deliverable</x:v>
      </x:c>
      <x:c r="E14" s="8" t="str">
        <x:v>Weight Allocation</x:v>
      </x:c>
      <x:c r="F14" s="8" t="str">
        <x:v>ClickUp Status</x:v>
      </x:c>
      <x:c r="G14" s="8" t="str">
        <x:v>Accepted</x:v>
      </x:c>
      <x:c r="H14" s="8" t="str">
        <x:v>ClickUp URL</x:v>
      </x:c>
    </x:row>
    <x:row r="15">
      <x:c r="A15" s="16" t="str">
        <x:v>REQ-01</x:v>
      </x:c>
      <x:c r="B15" s="16" t="str">
        <x:v>Define dashboard data and filter requirements</x:v>
      </x:c>
      <x:c r="C15" s="16" t="str">
        <x:v>Given the PAULUS Define dashboard data and filter requirements task is implemented, the feature should meet the approved capstone requirements and pass review against its expected behavior.</x:v>
      </x:c>
      <x:c r="D15" s="16" t="str">
        <x:v>ClickUp task evidence, implementation output, QA notes, screenshots, tests, or manuscript updates for Define dashboard data and filter requirements.</x:v>
      </x:c>
      <x:c r="E15" s="18" t="n">
        <x:v>0.001225</x:v>
      </x:c>
      <x:c r="F15" s="16" t="str">
        <x:v>planning/backlog</x:v>
      </x:c>
      <x:c r="G15" s="17" t="b">
        <x:v>0</x:v>
      </x:c>
      <x:c r="H15" s="16" t="str">
        <x:v>https://app.clickup.com/t/86d390n52</x:v>
      </x:c>
    </x:row>
    <x:row r="16">
      <x:c r="A16" s="16" t="str">
        <x:v>DES-01</x:v>
      </x:c>
      <x:c r="B16" s="16" t="str">
        <x:v>Create dashboard wireframe</x:v>
      </x:c>
      <x:c r="C16" s="16" t="str">
        <x:v>Given the PAULUS Create dashboard wireframe task is implemented, the feature should meet the approved capstone requirements and pass review against its expected behavior.</x:v>
      </x:c>
      <x:c r="D16" s="16" t="str">
        <x:v>ClickUp task evidence, implementation output, QA notes, screenshots, tests, or manuscript updates for Create dashboard wireframe.</x:v>
      </x:c>
      <x:c r="E16" s="18" t="n">
        <x:v>0.001225</x:v>
      </x:c>
      <x:c r="F16" s="16" t="str">
        <x:v>planning/backlog</x:v>
      </x:c>
      <x:c r="G16" s="17" t="b">
        <x:v>0</x:v>
      </x:c>
      <x:c r="H16" s="16" t="str">
        <x:v>https://app.clickup.com/t/86d390nvz</x:v>
      </x:c>
    </x:row>
    <x:row r="17">
      <x:c r="A17" s="16" t="str">
        <x:v>DEV-01</x:v>
      </x:c>
      <x:c r="B17" s="16" t="str">
        <x:v>Build dashboard layout components</x:v>
      </x:c>
      <x:c r="C17" s="16" t="str">
        <x:v>Given the PAULUS Build dashboard layout components task is implemented, the feature should meet the approved capstone requirements and pass review against its expected behavior.</x:v>
      </x:c>
      <x:c r="D17" s="16" t="str">
        <x:v>ClickUp task evidence, implementation output, QA notes, screenshots, tests, or manuscript updates for Build dashboard layout components.</x:v>
      </x:c>
      <x:c r="E17" s="18" t="n">
        <x:v>0.001225</x:v>
      </x:c>
      <x:c r="F17" s="16" t="str">
        <x:v>planning/backlog</x:v>
      </x:c>
      <x:c r="G17" s="17" t="b">
        <x:v>0</x:v>
      </x:c>
      <x:c r="H17" s="16" t="str">
        <x:v>https://app.clickup.com/t/86d390p6m</x:v>
      </x:c>
    </x:row>
    <x:row r="18">
      <x:c r="A18" s="16" t="str">
        <x:v>DEV-02</x:v>
      </x:c>
      <x:c r="B18" s="16" t="str">
        <x:v>Add financial summary cards</x:v>
      </x:c>
      <x:c r="C18" s="16" t="str">
        <x:v>Given the PAULUS Add financial summary cards task is implemented, the feature should meet the approved capstone requirements and pass review against its expected behavior.</x:v>
      </x:c>
      <x:c r="D18" s="16" t="str">
        <x:v>ClickUp task evidence, implementation output, QA notes, screenshots, tests, or manuscript updates for Add financial summary cards.</x:v>
      </x:c>
      <x:c r="E18" s="18" t="n">
        <x:v>0.001225</x:v>
      </x:c>
      <x:c r="F18" s="16" t="str">
        <x:v>planning/backlog</x:v>
      </x:c>
      <x:c r="G18" s="17" t="b">
        <x:v>0</x:v>
      </x:c>
      <x:c r="H18" s="16" t="str">
        <x:v>https://app.clickup.com/t/86d390p8g</x:v>
      </x:c>
    </x:row>
    <x:row r="19">
      <x:c r="A19" s="16" t="str">
        <x:v>DEV-03</x:v>
      </x:c>
      <x:c r="B19" s="16" t="str">
        <x:v>Add chart and visualization components</x:v>
      </x:c>
      <x:c r="C19" s="16" t="str">
        <x:v>Given the PAULUS Add chart and visualization components task is implemented, the feature should meet the approved capstone requirements and pass review against its expected behavior.</x:v>
      </x:c>
      <x:c r="D19" s="16" t="str">
        <x:v>ClickUp task evidence, implementation output, QA notes, screenshots, tests, or manuscript updates for Add chart and visualization components.</x:v>
      </x:c>
      <x:c r="E19" s="18" t="n">
        <x:v>0.001225</x:v>
      </x:c>
      <x:c r="F19" s="16" t="str">
        <x:v>planning/backlog</x:v>
      </x:c>
      <x:c r="G19" s="17" t="b">
        <x:v>0</x:v>
      </x:c>
      <x:c r="H19" s="16" t="str">
        <x:v>https://app.clickup.com/t/86d390pb0</x:v>
      </x:c>
    </x:row>
    <x:row r="20">
      <x:c r="A20" s="16" t="str">
        <x:v>DEV-04</x:v>
      </x:c>
      <x:c r="B20" s="16" t="str">
        <x:v>Connect dashboard to backend API data</x:v>
      </x:c>
      <x:c r="C20" s="16" t="str">
        <x:v>Given the PAULUS Connect dashboard to backend API data task is implemented, the feature should meet the approved capstone requirements and pass review against its expected behavior.</x:v>
      </x:c>
      <x:c r="D20" s="16" t="str">
        <x:v>ClickUp task evidence, implementation output, QA notes, screenshots, tests, or manuscript updates for Connect dashboard to backend API data.</x:v>
      </x:c>
      <x:c r="E20" s="18" t="n">
        <x:v>0.001225</x:v>
      </x:c>
      <x:c r="F20" s="16" t="str">
        <x:v>planning/backlog</x:v>
      </x:c>
      <x:c r="G20" s="17" t="b">
        <x:v>0</x:v>
      </x:c>
      <x:c r="H20" s="16" t="str">
        <x:v>https://app.clickup.com/t/86d390pde</x:v>
      </x:c>
    </x:row>
    <x:row r="21">
      <x:c r="A21" s="16" t="str">
        <x:v>TEST-01</x:v>
      </x:c>
      <x:c r="B21" s="16" t="str">
        <x:v>Verify dashboard data rendering and filters</x:v>
      </x:c>
      <x:c r="C21" s="16" t="str">
        <x:v>Given the PAULUS Verify dashboard data rendering and filters task is implemented, the feature should meet the approved capstone requirements and pass review against its expected behavior.</x:v>
      </x:c>
      <x:c r="D21" s="16" t="str">
        <x:v>ClickUp task evidence, implementation output, QA notes, screenshots, tests, or manuscript updates for Verify dashboard data rendering and filters.</x:v>
      </x:c>
      <x:c r="E21" s="18" t="n">
        <x:v>0.001225</x:v>
      </x:c>
      <x:c r="F21" s="16" t="str">
        <x:v>planning/backlog</x:v>
      </x:c>
      <x:c r="G21" s="17" t="b">
        <x:v>0</x:v>
      </x:c>
      <x:c r="H21" s="16" t="str">
        <x:v>https://app.clickup.com/t/86d390pfw</x:v>
      </x:c>
    </x:row>
    <x:row r="22">
      <x:c r="A22" s="16" t="str">
        <x:v>FIX-01</x:v>
      </x:c>
      <x:c r="B22" s="16" t="str">
        <x:v>Resolve dashboard display and calculation issues</x:v>
      </x:c>
      <x:c r="C22" s="16" t="str">
        <x:v>Given the PAULUS Resolve dashboard display and calculation issues task is implemented, the feature should meet the approved capstone requirements and pass review against its expected behavior.</x:v>
      </x:c>
      <x:c r="D22" s="16" t="str">
        <x:v>ClickUp task evidence, implementation output, QA notes, screenshots, tests, or manuscript updates for Resolve dashboard display and calculation issues.</x:v>
      </x:c>
      <x:c r="E22" s="18" t="n">
        <x:v>0.001225</x:v>
      </x:c>
      <x:c r="F22" s="16" t="str">
        <x:v>planning/backlog</x:v>
      </x:c>
      <x:c r="G22" s="17" t="b">
        <x:v>0</x:v>
      </x:c>
      <x:c r="H22" s="16" t="str">
        <x:v>https://app.clickup.com/t/86d390pjm</x:v>
      </x:c>
    </x:row>
    <x:row r="23">
      <x:c r="A23" s="16" t="str">
        <x:v>UAT-01</x:v>
      </x:c>
      <x:c r="B23" s="16" t="str">
        <x:v>Validate dashboard usability with target users</x:v>
      </x:c>
      <x:c r="C23" s="16" t="str">
        <x:v>Given the PAULUS Validate dashboard usability with target users task is implemented, the feature should meet the approved capstone requirements and pass review against its expected behavior.</x:v>
      </x:c>
      <x:c r="D23" s="16" t="str">
        <x:v>ClickUp task evidence, implementation output, QA notes, screenshots, tests, or manuscript updates for Validate dashboard usability with target users.</x:v>
      </x:c>
      <x:c r="E23" s="18" t="n">
        <x:v>0.001225</x:v>
      </x:c>
      <x:c r="F23" s="16" t="str">
        <x:v>planning/backlog</x:v>
      </x:c>
      <x:c r="G23" s="17" t="b">
        <x:v>0</x:v>
      </x:c>
      <x:c r="H23" s="16" t="str">
        <x:v>https://app.clickup.com/t/86d390pn2</x:v>
      </x:c>
    </x:row>
    <x:row r="24">
      <x:c r="A24" s="16" t="str">
        <x:v>MS-01</x:v>
      </x:c>
      <x:c r="B24" s="16" t="str">
        <x:v>Document dashboard module in Chapter 4</x:v>
      </x:c>
      <x:c r="C24" s="16" t="str">
        <x:v>Given the PAULUS Document dashboard module in Chapter 4 task is implemented, the feature should meet the approved capstone requirements and pass review against its expected behavior.</x:v>
      </x:c>
      <x:c r="D24" s="16" t="str">
        <x:v>ClickUp task evidence, implementation output, QA notes, screenshots, tests, or manuscript updates for Document dashboard module in Chapter 4.</x:v>
      </x:c>
      <x:c r="E24" s="18" t="n">
        <x:v>0.001225</x:v>
      </x:c>
      <x:c r="F24" s="16" t="str">
        <x:v>planning/backlog</x:v>
      </x:c>
      <x:c r="G24" s="17" t="b">
        <x:v>0</x:v>
      </x:c>
      <x:c r="H24" s="16" t="str">
        <x:v>https://app.clickup.com/t/86d390pqg</x:v>
      </x:c>
    </x:row>
    <x:row r="25">
      <x:c r="A25" s="26" t="str">
        <x:v>Total Accomplished</x:v>
      </x:c>
      <x:c r="B25" s="26" t="str"/>
      <x:c r="C25" s="26" t="str"/>
      <x:c r="D25" s="26" t="str"/>
      <x:c r="E25" s="27" t="n">
        <x:f>SUM(E15:E24)</x:f>
        <x:v>0.012250000000000002</x:v>
      </x:c>
      <x:c r="F25" s="27" t="str"/>
      <x:c r="G25" s="27" t="n">
        <x:f>SUMIF(G15:G24, TRUE, E15:E24)</x:f>
        <x:v>0</x:v>
      </x:c>
      <x:c r="H25" s="26" t="str"/>
    </x:row>
    <x:row r="27">
      <x:c r="A27" s="4" t="str">
        <x:v>Task ID</x:v>
      </x:c>
      <x:c r="B27" s="4" t="str">
        <x:v>INST</x:v>
      </x:c>
      <x:c r="C27" s="4" t="str">
        <x:v>Task Name</x:v>
      </x:c>
      <x:c r="D27" s="4" t="str">
        <x:v>Institution Management Interface</x:v>
      </x:c>
      <x:c r="E27" s="4" t="str"/>
      <x:c r="F27" s="4" t="str">
        <x:v>for qa / internal testing</x:v>
      </x:c>
      <x:c r="G27" s="4" t="str"/>
      <x:c r="H27" s="4" t="str">
        <x:v>https://app.clickup.com/t/86d38tg8j</x:v>
      </x:c>
    </x:row>
    <x:row r="28">
      <x:c r="A28" s="8" t="str">
        <x:v>Subtask ID</x:v>
      </x:c>
      <x:c r="B28" s="8" t="str">
        <x:v>Subtask / Task Name</x:v>
      </x:c>
      <x:c r="C28" s="8" t="str">
        <x:v>Acceptance Criteria</x:v>
      </x:c>
      <x:c r="D28" s="8" t="str">
        <x:v>Evidence / Deliverable</x:v>
      </x:c>
      <x:c r="E28" s="8" t="str">
        <x:v>Weight Allocation</x:v>
      </x:c>
      <x:c r="F28" s="8" t="str">
        <x:v>ClickUp Status</x:v>
      </x:c>
      <x:c r="G28" s="8" t="str">
        <x:v>Accepted</x:v>
      </x:c>
      <x:c r="H28" s="8" t="str">
        <x:v>ClickUp URL</x:v>
      </x:c>
    </x:row>
    <x:row r="29">
      <x:c r="A29" s="16" t="str">
        <x:v>REQ-01</x:v>
      </x:c>
      <x:c r="B29" s="16" t="str">
        <x:v>Define institution management requirements</x:v>
      </x:c>
      <x:c r="C29" s="16" t="str">
        <x:v>Given the PAULUS Define institution management requirements task is implemented, the feature should meet the approved capstone requirements and pass review against its expected behavior.</x:v>
      </x:c>
      <x:c r="D29" s="16" t="str">
        <x:v>ClickUp task evidence, implementation output, QA notes, screenshots, tests, or manuscript updates for Define institution management requirements.</x:v>
      </x:c>
      <x:c r="E29" s="18" t="n">
        <x:v>0.00175</x:v>
      </x:c>
      <x:c r="F29" s="16" t="str">
        <x:v>standardized subtask - URL pending</x:v>
      </x:c>
      <x:c r="G29" s="17" t="b">
        <x:v>0</x:v>
      </x:c>
      <x:c r="H29" s="16" t="str"/>
    </x:row>
    <x:row r="30">
      <x:c r="A30" s="16" t="str">
        <x:v>DES-01</x:v>
      </x:c>
      <x:c r="B30" s="16" t="str">
        <x:v>Design institution management interface and workflow</x:v>
      </x:c>
      <x:c r="C30" s="16" t="str">
        <x:v>Given the PAULUS Design institution management interface and workflow task is implemented, the feature should meet the approved capstone requirements and pass review against its expected behavior.</x:v>
      </x:c>
      <x:c r="D30" s="16" t="str">
        <x:v>ClickUp task evidence, implementation output, QA notes, screenshots, tests, or manuscript updates for Design institution management interface and workflow.</x:v>
      </x:c>
      <x:c r="E30" s="18" t="n">
        <x:v>0.00175</x:v>
      </x:c>
      <x:c r="F30" s="16" t="str">
        <x:v>standardized subtask - URL pending</x:v>
      </x:c>
      <x:c r="G30" s="17" t="b">
        <x:v>0</x:v>
      </x:c>
      <x:c r="H30" s="16" t="str"/>
    </x:row>
    <x:row r="31">
      <x:c r="A31" s="16" t="str">
        <x:v>DEV-01</x:v>
      </x:c>
      <x:c r="B31" s="16" t="str">
        <x:v>Build institution management interface</x:v>
      </x:c>
      <x:c r="C31" s="16" t="str">
        <x:v>Given the PAULUS Build institution management interface task is implemented, the feature should meet the approved capstone requirements and pass review against its expected behavior.</x:v>
      </x:c>
      <x:c r="D31" s="16" t="str">
        <x:v>ClickUp task evidence, implementation output, QA notes, screenshots, tests, or manuscript updates for Build institution management interface.</x:v>
      </x:c>
      <x:c r="E31" s="18" t="n">
        <x:v>0.00175</x:v>
      </x:c>
      <x:c r="F31" s="16" t="str">
        <x:v>standardized subtask - URL pending</x:v>
      </x:c>
      <x:c r="G31" s="17" t="b">
        <x:v>0</x:v>
      </x:c>
      <x:c r="H31" s="16" t="str"/>
    </x:row>
    <x:row r="32">
      <x:c r="A32" s="16" t="str">
        <x:v>TEST-01</x:v>
      </x:c>
      <x:c r="B32" s="16" t="str">
        <x:v>Test institution create, update, view, and validation behavior</x:v>
      </x:c>
      <x:c r="C32" s="16" t="str">
        <x:v>Given the PAULUS Test institution create, update, view, and validation behavior task is implemented, the feature should meet the approved capstone requirements and pass review against its expected behavior.</x:v>
      </x:c>
      <x:c r="D32" s="16" t="str">
        <x:v>ClickUp task evidence, implementation output, QA notes, screenshots, tests, or manuscript updates for Test institution create, update, view, and validation behavior.</x:v>
      </x:c>
      <x:c r="E32" s="18" t="n">
        <x:v>0.00175</x:v>
      </x:c>
      <x:c r="F32" s="16" t="str">
        <x:v>standardized subtask - URL pending</x:v>
      </x:c>
      <x:c r="G32" s="17" t="b">
        <x:v>0</x:v>
      </x:c>
      <x:c r="H32" s="16" t="str"/>
    </x:row>
    <x:row r="33">
      <x:c r="A33" s="16" t="str">
        <x:v>FIX-01</x:v>
      </x:c>
      <x:c r="B33" s="16" t="str">
        <x:v>Resolve institution management issues</x:v>
      </x:c>
      <x:c r="C33" s="16" t="str">
        <x:v>Given the PAULUS Resolve institution management issues task is implemented, the feature should meet the approved capstone requirements and pass review against its expected behavior.</x:v>
      </x:c>
      <x:c r="D33" s="16" t="str">
        <x:v>ClickUp task evidence, implementation output, QA notes, screenshots, tests, or manuscript updates for Resolve institution management issues.</x:v>
      </x:c>
      <x:c r="E33" s="18" t="n">
        <x:v>0.00175</x:v>
      </x:c>
      <x:c r="F33" s="16" t="str">
        <x:v>standardized subtask - URL pending</x:v>
      </x:c>
      <x:c r="G33" s="17" t="b">
        <x:v>0</x:v>
      </x:c>
      <x:c r="H33" s="16" t="str"/>
    </x:row>
    <x:row r="34">
      <x:c r="A34" s="16" t="str">
        <x:v>UAT-01</x:v>
      </x:c>
      <x:c r="B34" s="16" t="str">
        <x:v>Validate institution management with target users</x:v>
      </x:c>
      <x:c r="C34" s="16" t="str">
        <x:v>Given the PAULUS Validate institution management with target users task is implemented, the feature should meet the approved capstone requirements and pass review against its expected behavior.</x:v>
      </x:c>
      <x:c r="D34" s="16" t="str">
        <x:v>ClickUp task evidence, implementation output, QA notes, screenshots, tests, or manuscript updates for Validate institution management with target users.</x:v>
      </x:c>
      <x:c r="E34" s="18" t="n">
        <x:v>0.00175</x:v>
      </x:c>
      <x:c r="F34" s="16" t="str">
        <x:v>standardized subtask - URL pending</x:v>
      </x:c>
      <x:c r="G34" s="17" t="b">
        <x:v>0</x:v>
      </x:c>
      <x:c r="H34" s="16" t="str"/>
    </x:row>
    <x:row r="35">
      <x:c r="A35" s="16" t="str">
        <x:v>MS-01</x:v>
      </x:c>
      <x:c r="B35" s="16" t="str">
        <x:v>Document institution management module in Chapter 4</x:v>
      </x:c>
      <x:c r="C35" s="16" t="str">
        <x:v>Given the PAULUS Document institution management module in Chapter 4 task is implemented, the feature should meet the approved capstone requirements and pass review against its expected behavior.</x:v>
      </x:c>
      <x:c r="D35" s="16" t="str">
        <x:v>ClickUp task evidence, implementation output, QA notes, screenshots, tests, or manuscript updates for Document institution management module in Chapter 4.</x:v>
      </x:c>
      <x:c r="E35" s="18" t="n">
        <x:v>0.00175</x:v>
      </x:c>
      <x:c r="F35" s="16" t="str">
        <x:v>standardized subtask - URL pending</x:v>
      </x:c>
      <x:c r="G35" s="17" t="b">
        <x:v>0</x:v>
      </x:c>
      <x:c r="H35" s="16" t="str"/>
    </x:row>
    <x:row r="36">
      <x:c r="A36" s="26" t="str">
        <x:v>Total Accomplished</x:v>
      </x:c>
      <x:c r="B36" s="26" t="str"/>
      <x:c r="C36" s="26" t="str"/>
      <x:c r="D36" s="26" t="str"/>
      <x:c r="E36" s="27" t="n">
        <x:f>SUM(E29:E35)</x:f>
        <x:v>0.01225</x:v>
      </x:c>
      <x:c r="F36" s="27" t="str"/>
      <x:c r="G36" s="27" t="n">
        <x:f>SUMIF(G29:G35, TRUE, E29:E35)</x:f>
        <x:v>0</x:v>
      </x:c>
      <x:c r="H36" s="26" t="str"/>
    </x:row>
    <x:row r="38">
      <x:c r="A38" s="4" t="str">
        <x:v>Task ID</x:v>
      </x:c>
      <x:c r="B38" s="4" t="str">
        <x:v>TWIN</x:v>
      </x:c>
      <x:c r="C38" s="4" t="str">
        <x:v>Task Name</x:v>
      </x:c>
      <x:c r="D38" s="4" t="str">
        <x:v>Digital Twin Interface</x:v>
      </x:c>
      <x:c r="E38" s="4" t="str"/>
      <x:c r="F38" s="4" t="str">
        <x:v>for qa / internal testing</x:v>
      </x:c>
      <x:c r="G38" s="4" t="str"/>
      <x:c r="H38" s="4" t="str">
        <x:v>https://app.clickup.com/t/86d38tgck</x:v>
      </x:c>
    </x:row>
    <x:row r="39">
      <x:c r="A39" s="8" t="str">
        <x:v>Subtask ID</x:v>
      </x:c>
      <x:c r="B39" s="8" t="str">
        <x:v>Subtask / Task Name</x:v>
      </x:c>
      <x:c r="C39" s="8" t="str">
        <x:v>Acceptance Criteria</x:v>
      </x:c>
      <x:c r="D39" s="8" t="str">
        <x:v>Evidence / Deliverable</x:v>
      </x:c>
      <x:c r="E39" s="8" t="str">
        <x:v>Weight Allocation</x:v>
      </x:c>
      <x:c r="F39" s="8" t="str">
        <x:v>ClickUp Status</x:v>
      </x:c>
      <x:c r="G39" s="8" t="str">
        <x:v>Accepted</x:v>
      </x:c>
      <x:c r="H39" s="8" t="str">
        <x:v>ClickUp URL</x:v>
      </x:c>
    </x:row>
    <x:row r="40">
      <x:c r="A40" s="16" t="str">
        <x:v>REQ-01</x:v>
      </x:c>
      <x:c r="B40" s="16" t="str">
        <x:v>Define digital twin interface requirements</x:v>
      </x:c>
      <x:c r="C40" s="16" t="str">
        <x:v>Given the PAULUS Define digital twin interface requirements task is implemented, the feature should meet the approved capstone requirements and pass review against its expected behavior.</x:v>
      </x:c>
      <x:c r="D40" s="16" t="str">
        <x:v>ClickUp task evidence, implementation output, QA notes, screenshots, tests, or manuscript updates for Define digital twin interface requirements.</x:v>
      </x:c>
      <x:c r="E40" s="18" t="n">
        <x:v>0.0013611111111111111</x:v>
      </x:c>
      <x:c r="F40" s="16" t="str">
        <x:v>planning/backlog</x:v>
      </x:c>
      <x:c r="G40" s="17" t="b">
        <x:v>0</x:v>
      </x:c>
      <x:c r="H40" s="16" t="str">
        <x:v>https://app.clickup.com/t/86d390ayb</x:v>
      </x:c>
    </x:row>
    <x:row r="41">
      <x:c r="A41" s="16" t="str">
        <x:v>DES-01</x:v>
      </x:c>
      <x:c r="B41" s="16" t="str">
        <x:v>Design digital twin institution selector and launcher</x:v>
      </x:c>
      <x:c r="C41" s="16" t="str">
        <x:v>Given the PAULUS Design digital twin institution selector and launcher task is implemented, the feature should meet the approved capstone requirements and pass review against its expected behavior.</x:v>
      </x:c>
      <x:c r="D41" s="16" t="str">
        <x:v>ClickUp task evidence, implementation output, QA notes, screenshots, tests, or manuscript updates for Design digital twin institution selector and launcher.</x:v>
      </x:c>
      <x:c r="E41" s="18" t="n">
        <x:v>0.0013611111111111111</x:v>
      </x:c>
      <x:c r="F41" s="16" t="str">
        <x:v>planning/backlog</x:v>
      </x:c>
      <x:c r="G41" s="17" t="b">
        <x:v>0</x:v>
      </x:c>
      <x:c r="H41" s="16" t="str">
        <x:v>https://app.clickup.com/t/86d390azd</x:v>
      </x:c>
    </x:row>
    <x:row r="42">
      <x:c r="A42" s="16" t="str">
        <x:v>DEV-01</x:v>
      </x:c>
      <x:c r="B42" s="16" t="str">
        <x:v>Build institution selection and session management</x:v>
      </x:c>
      <x:c r="C42" s="16" t="str">
        <x:v>Given the PAULUS Build institution selection and session management task is implemented, the feature should meet the approved capstone requirements and pass review against its expected behavior.</x:v>
      </x:c>
      <x:c r="D42" s="16" t="str">
        <x:v>ClickUp task evidence, implementation output, QA notes, screenshots, tests, or manuscript updates for Build institution selection and session management.</x:v>
      </x:c>
      <x:c r="E42" s="18" t="n">
        <x:v>0.0013611111111111111</x:v>
      </x:c>
      <x:c r="F42" s="16" t="str">
        <x:v>planning/backlog</x:v>
      </x:c>
      <x:c r="G42" s="17" t="b">
        <x:v>0</x:v>
      </x:c>
      <x:c r="H42" s="16" t="str">
        <x:v>https://app.clickup.com/t/86d390b66</x:v>
      </x:c>
    </x:row>
    <x:row r="43">
      <x:c r="A43" s="16" t="str">
        <x:v>DEV-02</x:v>
      </x:c>
      <x:c r="B43" s="16" t="str">
        <x:v>Build digital twin scenario launch and history flow</x:v>
      </x:c>
      <x:c r="C43" s="16" t="str">
        <x:v>Given the PAULUS Build digital twin scenario launch and history flow task is implemented, the feature should meet the approved capstone requirements and pass review against its expected behavior.</x:v>
      </x:c>
      <x:c r="D43" s="16" t="str">
        <x:v>ClickUp task evidence, implementation output, QA notes, screenshots, tests, or manuscript updates for Build digital twin scenario launch and history flow.</x:v>
      </x:c>
      <x:c r="E43" s="18" t="n">
        <x:v>0.0013611111111111111</x:v>
      </x:c>
      <x:c r="F43" s="16" t="str">
        <x:v>planning/backlog</x:v>
      </x:c>
      <x:c r="G43" s="17" t="b">
        <x:v>0</x:v>
      </x:c>
      <x:c r="H43" s="16" t="str">
        <x:v>https://app.clickup.com/t/86d390b7k</x:v>
      </x:c>
    </x:row>
    <x:row r="44">
      <x:c r="A44" s="16" t="str">
        <x:v>DEV-03</x:v>
      </x:c>
      <x:c r="B44" s="16" t="str">
        <x:v>Connect digital twin to backend simulation data</x:v>
      </x:c>
      <x:c r="C44" s="16" t="str">
        <x:v>Given the PAULUS Connect digital twin to backend simulation data task is implemented, the feature should meet the approved capstone requirements and pass review against its expected behavior.</x:v>
      </x:c>
      <x:c r="D44" s="16" t="str">
        <x:v>ClickUp task evidence, implementation output, QA notes, screenshots, tests, or manuscript updates for Connect digital twin to backend simulation data.</x:v>
      </x:c>
      <x:c r="E44" s="18" t="n">
        <x:v>0.0013611111111111111</x:v>
      </x:c>
      <x:c r="F44" s="16" t="str">
        <x:v>planning/backlog</x:v>
      </x:c>
      <x:c r="G44" s="17" t="b">
        <x:v>0</x:v>
      </x:c>
      <x:c r="H44" s="16" t="str">
        <x:v>https://app.clickup.com/t/86d390bae</x:v>
      </x:c>
    </x:row>
    <x:row r="45">
      <x:c r="A45" s="16" t="str">
        <x:v>TEST-01</x:v>
      </x:c>
      <x:c r="B45" s="16" t="str">
        <x:v>Test digital twin institution selection and launch behavior</x:v>
      </x:c>
      <x:c r="C45" s="16" t="str">
        <x:v>Given the PAULUS Test digital twin institution selection and launch behavior task is implemented, the feature should meet the approved capstone requirements and pass review against its expected behavior.</x:v>
      </x:c>
      <x:c r="D45" s="16" t="str">
        <x:v>ClickUp task evidence, implementation output, QA notes, screenshots, tests, or manuscript updates for Test digital twin institution selection and launch behavior.</x:v>
      </x:c>
      <x:c r="E45" s="18" t="n">
        <x:v>0.0013611111111111111</x:v>
      </x:c>
      <x:c r="F45" s="16" t="str">
        <x:v>planning/backlog</x:v>
      </x:c>
      <x:c r="G45" s="17" t="b">
        <x:v>0</x:v>
      </x:c>
      <x:c r="H45" s="16" t="str">
        <x:v>https://app.clickup.com/t/86d390bct</x:v>
      </x:c>
    </x:row>
    <x:row r="46">
      <x:c r="A46" s="16" t="str">
        <x:v>FIX-01</x:v>
      </x:c>
      <x:c r="B46" s="16" t="str">
        <x:v>Resolve digital twin interface and session issues</x:v>
      </x:c>
      <x:c r="C46" s="16" t="str">
        <x:v>Given the PAULUS Resolve digital twin interface and session issues task is implemented, the feature should meet the approved capstone requirements and pass review against its expected behavior.</x:v>
      </x:c>
      <x:c r="D46" s="16" t="str">
        <x:v>ClickUp task evidence, implementation output, QA notes, screenshots, tests, or manuscript updates for Resolve digital twin interface and session issues.</x:v>
      </x:c>
      <x:c r="E46" s="18" t="n">
        <x:v>0.0013611111111111111</x:v>
      </x:c>
      <x:c r="F46" s="16" t="str">
        <x:v>planning/backlog</x:v>
      </x:c>
      <x:c r="G46" s="17" t="b">
        <x:v>0</x:v>
      </x:c>
      <x:c r="H46" s="16" t="str">
        <x:v>https://app.clickup.com/t/86d390bef</x:v>
      </x:c>
    </x:row>
    <x:row r="47">
      <x:c r="A47" s="16" t="str">
        <x:v>UAT-01</x:v>
      </x:c>
      <x:c r="B47" s="16" t="str">
        <x:v>Validate digital twin interface with target users</x:v>
      </x:c>
      <x:c r="C47" s="16" t="str">
        <x:v>Given the PAULUS Validate digital twin interface with target users task is implemented, the feature should meet the approved capstone requirements and pass review against its expected behavior.</x:v>
      </x:c>
      <x:c r="D47" s="16" t="str">
        <x:v>ClickUp task evidence, implementation output, QA notes, screenshots, tests, or manuscript updates for Validate digital twin interface with target users.</x:v>
      </x:c>
      <x:c r="E47" s="18" t="n">
        <x:v>0.0013611111111111111</x:v>
      </x:c>
      <x:c r="F47" s="16" t="str">
        <x:v>planning/backlog</x:v>
      </x:c>
      <x:c r="G47" s="17" t="b">
        <x:v>0</x:v>
      </x:c>
      <x:c r="H47" s="16" t="str">
        <x:v>https://app.clickup.com/t/86d390bfd</x:v>
      </x:c>
    </x:row>
    <x:row r="48">
      <x:c r="A48" s="16" t="str">
        <x:v>MS-01</x:v>
      </x:c>
      <x:c r="B48" s="16" t="str">
        <x:v>Document digital twin interface in Chapter 4</x:v>
      </x:c>
      <x:c r="C48" s="16" t="str">
        <x:v>Given the PAULUS Document digital twin interface in Chapter 4 task is implemented, the feature should meet the approved capstone requirements and pass review against its expected behavior.</x:v>
      </x:c>
      <x:c r="D48" s="16" t="str">
        <x:v>ClickUp task evidence, implementation output, QA notes, screenshots, tests, or manuscript updates for Document digital twin interface in Chapter 4.</x:v>
      </x:c>
      <x:c r="E48" s="18" t="n">
        <x:v>0.0013611111111111111</x:v>
      </x:c>
      <x:c r="F48" s="16" t="str">
        <x:v>planning/backlog</x:v>
      </x:c>
      <x:c r="G48" s="17" t="b">
        <x:v>0</x:v>
      </x:c>
      <x:c r="H48" s="16" t="str">
        <x:v>https://app.clickup.com/t/86d390bhk</x:v>
      </x:c>
    </x:row>
    <x:row r="49">
      <x:c r="A49" s="26" t="str">
        <x:v>Total Accomplished</x:v>
      </x:c>
      <x:c r="B49" s="26" t="str"/>
      <x:c r="C49" s="26" t="str"/>
      <x:c r="D49" s="26" t="str"/>
      <x:c r="E49" s="27" t="n">
        <x:f>SUM(E40:E48)</x:f>
        <x:v>0.012250000000000002</x:v>
      </x:c>
      <x:c r="F49" s="27" t="str"/>
      <x:c r="G49" s="27" t="n">
        <x:f>SUMIF(G40:G48, TRUE, E40:E48)</x:f>
        <x:v>0</x:v>
      </x:c>
      <x:c r="H49" s="26" t="str"/>
    </x:row>
    <x:row r="51">
      <x:c r="A51" s="4" t="str">
        <x:v>Task ID</x:v>
      </x:c>
      <x:c r="B51" s="4" t="str">
        <x:v>WHATIF</x:v>
      </x:c>
      <x:c r="C51" s="4" t="str">
        <x:v>Task Name</x:v>
      </x:c>
      <x:c r="D51" s="4" t="str">
        <x:v>What-If Simulator Interface</x:v>
      </x:c>
      <x:c r="E51" s="4" t="str"/>
      <x:c r="F51" s="4" t="str">
        <x:v>for qa / internal testing</x:v>
      </x:c>
      <x:c r="G51" s="4" t="str"/>
      <x:c r="H51" s="4" t="str">
        <x:v>https://app.clickup.com/t/86d38tgd8</x:v>
      </x:c>
    </x:row>
    <x:row r="52">
      <x:c r="A52" s="8" t="str">
        <x:v>Subtask ID</x:v>
      </x:c>
      <x:c r="B52" s="8" t="str">
        <x:v>Subtask / Task Name</x:v>
      </x:c>
      <x:c r="C52" s="8" t="str">
        <x:v>Acceptance Criteria</x:v>
      </x:c>
      <x:c r="D52" s="8" t="str">
        <x:v>Evidence / Deliverable</x:v>
      </x:c>
      <x:c r="E52" s="8" t="str">
        <x:v>Weight Allocation</x:v>
      </x:c>
      <x:c r="F52" s="8" t="str">
        <x:v>ClickUp Status</x:v>
      </x:c>
      <x:c r="G52" s="8" t="str">
        <x:v>Accepted</x:v>
      </x:c>
      <x:c r="H52" s="8" t="str">
        <x:v>ClickUp URL</x:v>
      </x:c>
    </x:row>
    <x:row r="53">
      <x:c r="A53" s="16" t="str">
        <x:v>REQ-01</x:v>
      </x:c>
      <x:c r="B53" s="16" t="str">
        <x:v>Define what-if simulator requirements</x:v>
      </x:c>
      <x:c r="C53" s="16" t="str">
        <x:v>Given the PAULUS Define what-if simulator requirements task is implemented, the feature should meet the approved capstone requirements and pass review against its expected behavior.</x:v>
      </x:c>
      <x:c r="D53" s="16" t="str">
        <x:v>ClickUp task evidence, implementation output, QA notes, screenshots, tests, or manuscript updates for Define what-if simulator requirements.</x:v>
      </x:c>
      <x:c r="E53" s="18" t="n">
        <x:v>0.00175</x:v>
      </x:c>
      <x:c r="F53" s="16" t="str">
        <x:v>standardized subtask - URL pending</x:v>
      </x:c>
      <x:c r="G53" s="17" t="b">
        <x:v>0</x:v>
      </x:c>
      <x:c r="H53" s="16" t="str"/>
    </x:row>
    <x:row r="54">
      <x:c r="A54" s="16" t="str">
        <x:v>DES-01</x:v>
      </x:c>
      <x:c r="B54" s="16" t="str">
        <x:v>Design what-if simulator input and output workflow</x:v>
      </x:c>
      <x:c r="C54" s="16" t="str">
        <x:v>Given the PAULUS Design what-if simulator input and output workflow task is implemented, the feature should meet the approved capstone requirements and pass review against its expected behavior.</x:v>
      </x:c>
      <x:c r="D54" s="16" t="str">
        <x:v>ClickUp task evidence, implementation output, QA notes, screenshots, tests, or manuscript updates for Design what-if simulator input and output workflow.</x:v>
      </x:c>
      <x:c r="E54" s="18" t="n">
        <x:v>0.00175</x:v>
      </x:c>
      <x:c r="F54" s="16" t="str">
        <x:v>standardized subtask - URL pending</x:v>
      </x:c>
      <x:c r="G54" s="17" t="b">
        <x:v>0</x:v>
      </x:c>
      <x:c r="H54" s="16" t="str"/>
    </x:row>
    <x:row r="55">
      <x:c r="A55" s="16" t="str">
        <x:v>DEV-01</x:v>
      </x:c>
      <x:c r="B55" s="16" t="str">
        <x:v>Build what-if simulator interface</x:v>
      </x:c>
      <x:c r="C55" s="16" t="str">
        <x:v>Given the PAULUS Build what-if simulator interface task is implemented, the feature should meet the approved capstone requirements and pass review against its expected behavior.</x:v>
      </x:c>
      <x:c r="D55" s="16" t="str">
        <x:v>ClickUp task evidence, implementation output, QA notes, screenshots, tests, or manuscript updates for Build what-if simulator interface.</x:v>
      </x:c>
      <x:c r="E55" s="18" t="n">
        <x:v>0.00175</x:v>
      </x:c>
      <x:c r="F55" s="16" t="str">
        <x:v>standardized subtask - URL pending</x:v>
      </x:c>
      <x:c r="G55" s="17" t="b">
        <x:v>0</x:v>
      </x:c>
      <x:c r="H55" s="16" t="str"/>
    </x:row>
    <x:row r="56">
      <x:c r="A56" s="16" t="str">
        <x:v>TEST-01</x:v>
      </x:c>
      <x:c r="B56" s="16" t="str">
        <x:v>Test scenario input, calculation display, and reset behavior</x:v>
      </x:c>
      <x:c r="C56" s="16" t="str">
        <x:v>Given the PAULUS Test scenario input, calculation display, and reset behavior task is implemented, the feature should meet the approved capstone requirements and pass review against its expected behavior.</x:v>
      </x:c>
      <x:c r="D56" s="16" t="str">
        <x:v>ClickUp task evidence, implementation output, QA notes, screenshots, tests, or manuscript updates for Test scenario input, calculation display, and reset behavior.</x:v>
      </x:c>
      <x:c r="E56" s="18" t="n">
        <x:v>0.00175</x:v>
      </x:c>
      <x:c r="F56" s="16" t="str">
        <x:v>standardized subtask - URL pending</x:v>
      </x:c>
      <x:c r="G56" s="17" t="b">
        <x:v>0</x:v>
      </x:c>
      <x:c r="H56" s="16" t="str"/>
    </x:row>
    <x:row r="57">
      <x:c r="A57" s="16" t="str">
        <x:v>FIX-01</x:v>
      </x:c>
      <x:c r="B57" s="16" t="str">
        <x:v>Resolve what-if simulator issues</x:v>
      </x:c>
      <x:c r="C57" s="16" t="str">
        <x:v>Given the PAULUS Resolve what-if simulator issues task is implemented, the feature should meet the approved capstone requirements and pass review against its expected behavior.</x:v>
      </x:c>
      <x:c r="D57" s="16" t="str">
        <x:v>ClickUp task evidence, implementation output, QA notes, screenshots, tests, or manuscript updates for Resolve what-if simulator issues.</x:v>
      </x:c>
      <x:c r="E57" s="18" t="n">
        <x:v>0.00175</x:v>
      </x:c>
      <x:c r="F57" s="16" t="str">
        <x:v>standardized subtask - URL pending</x:v>
      </x:c>
      <x:c r="G57" s="17" t="b">
        <x:v>0</x:v>
      </x:c>
      <x:c r="H57" s="16" t="str"/>
    </x:row>
    <x:row r="58">
      <x:c r="A58" s="16" t="str">
        <x:v>UAT-01</x:v>
      </x:c>
      <x:c r="B58" s="16" t="str">
        <x:v>Validate what-if simulator with target users</x:v>
      </x:c>
      <x:c r="C58" s="16" t="str">
        <x:v>Given the PAULUS Validate what-if simulator with target users task is implemented, the feature should meet the approved capstone requirements and pass review against its expected behavior.</x:v>
      </x:c>
      <x:c r="D58" s="16" t="str">
        <x:v>ClickUp task evidence, implementation output, QA notes, screenshots, tests, or manuscript updates for Validate what-if simulator with target users.</x:v>
      </x:c>
      <x:c r="E58" s="18" t="n">
        <x:v>0.00175</x:v>
      </x:c>
      <x:c r="F58" s="16" t="str">
        <x:v>standardized subtask - URL pending</x:v>
      </x:c>
      <x:c r="G58" s="17" t="b">
        <x:v>0</x:v>
      </x:c>
      <x:c r="H58" s="16" t="str"/>
    </x:row>
    <x:row r="59">
      <x:c r="A59" s="16" t="str">
        <x:v>MS-01</x:v>
      </x:c>
      <x:c r="B59" s="16" t="str">
        <x:v>Document what-if simulator module in Chapter 4</x:v>
      </x:c>
      <x:c r="C59" s="16" t="str">
        <x:v>Given the PAULUS Document what-if simulator module in Chapter 4 task is implemented, the feature should meet the approved capstone requirements and pass review against its expected behavior.</x:v>
      </x:c>
      <x:c r="D59" s="16" t="str">
        <x:v>ClickUp task evidence, implementation output, QA notes, screenshots, tests, or manuscript updates for Document what-if simulator module in Chapter 4.</x:v>
      </x:c>
      <x:c r="E59" s="18" t="n">
        <x:v>0.00175</x:v>
      </x:c>
      <x:c r="F59" s="16" t="str">
        <x:v>standardized subtask - URL pending</x:v>
      </x:c>
      <x:c r="G59" s="17" t="b">
        <x:v>0</x:v>
      </x:c>
      <x:c r="H59" s="16" t="str"/>
    </x:row>
    <x:row r="60">
      <x:c r="A60" s="26" t="str">
        <x:v>Total Accomplished</x:v>
      </x:c>
      <x:c r="B60" s="26" t="str"/>
      <x:c r="C60" s="26" t="str"/>
      <x:c r="D60" s="26" t="str"/>
      <x:c r="E60" s="27" t="n">
        <x:f>SUM(E53:E59)</x:f>
        <x:v>0.01225</x:v>
      </x:c>
      <x:c r="F60" s="27" t="str"/>
      <x:c r="G60" s="27" t="n">
        <x:f>SUMIF(G53:G59, TRUE, E53:E59)</x:f>
        <x:v>0</x:v>
      </x:c>
      <x:c r="H60" s="26" t="str"/>
    </x:row>
    <x:row r="62">
      <x:c r="A62" s="4" t="str">
        <x:v>Task ID</x:v>
      </x:c>
      <x:c r="B62" s="4" t="str">
        <x:v>BUDGET</x:v>
      </x:c>
      <x:c r="C62" s="4" t="str">
        <x:v>Task Name</x:v>
      </x:c>
      <x:c r="D62" s="4" t="str">
        <x:v>Budget Page</x:v>
      </x:c>
      <x:c r="E62" s="4" t="str"/>
      <x:c r="F62" s="4" t="str">
        <x:v>planning/backlog</x:v>
      </x:c>
      <x:c r="G62" s="4" t="str"/>
      <x:c r="H62" s="4" t="str">
        <x:v>https://app.clickup.com/t/86d3bw6fq</x:v>
      </x:c>
    </x:row>
    <x:row r="63">
      <x:c r="A63" s="8" t="str">
        <x:v>Subtask ID</x:v>
      </x:c>
      <x:c r="B63" s="8" t="str">
        <x:v>Subtask / Task Name</x:v>
      </x:c>
      <x:c r="C63" s="8" t="str">
        <x:v>Acceptance Criteria</x:v>
      </x:c>
      <x:c r="D63" s="8" t="str">
        <x:v>Evidence / Deliverable</x:v>
      </x:c>
      <x:c r="E63" s="8" t="str">
        <x:v>Weight Allocation</x:v>
      </x:c>
      <x:c r="F63" s="8" t="str">
        <x:v>ClickUp Status</x:v>
      </x:c>
      <x:c r="G63" s="8" t="str">
        <x:v>Accepted</x:v>
      </x:c>
      <x:c r="H63" s="8" t="str">
        <x:v>ClickUp URL</x:v>
      </x:c>
    </x:row>
    <x:row r="64">
      <x:c r="A64" s="16" t="str">
        <x:v>REQ-01</x:v>
      </x:c>
      <x:c r="B64" s="16" t="str">
        <x:v>Define budget page requirements</x:v>
      </x:c>
      <x:c r="C64" s="16" t="str">
        <x:v>Given the PAULUS Define budget page requirements task is implemented, the feature should meet the approved capstone requirements and pass review against its expected behavior.</x:v>
      </x:c>
      <x:c r="D64" s="16" t="str">
        <x:v>ClickUp task evidence, implementation output, QA notes, screenshots, tests, or manuscript updates for Define budget page requirements.</x:v>
      </x:c>
      <x:c r="E64" s="18" t="n">
        <x:v>0.00175</x:v>
      </x:c>
      <x:c r="F64" s="16" t="str">
        <x:v>planning/backlog</x:v>
      </x:c>
      <x:c r="G64" s="17" t="b">
        <x:v>0</x:v>
      </x:c>
      <x:c r="H64" s="16" t="str">
        <x:v>https://app.clickup.com/t/86d3bwnnq</x:v>
      </x:c>
    </x:row>
    <x:row r="65">
      <x:c r="A65" s="16" t="str">
        <x:v>DES-01</x:v>
      </x:c>
      <x:c r="B65" s="16" t="str">
        <x:v>Design budget page interface and workflow</x:v>
      </x:c>
      <x:c r="C65" s="16" t="str">
        <x:v>Given the PAULUS Design budget page interface and workflow task is implemented, the feature should meet the approved capstone requirements and pass review against its expected behavior.</x:v>
      </x:c>
      <x:c r="D65" s="16" t="str">
        <x:v>ClickUp task evidence, implementation output, QA notes, screenshots, tests, or manuscript updates for Design budget page interface and workflow.</x:v>
      </x:c>
      <x:c r="E65" s="18" t="n">
        <x:v>0.00175</x:v>
      </x:c>
      <x:c r="F65" s="16" t="str">
        <x:v>planning/backlog</x:v>
      </x:c>
      <x:c r="G65" s="17" t="b">
        <x:v>0</x:v>
      </x:c>
      <x:c r="H65" s="16" t="str">
        <x:v>https://app.clickup.com/t/86d3bwnpb</x:v>
      </x:c>
    </x:row>
    <x:row r="66">
      <x:c r="A66" s="16" t="str">
        <x:v>DEV-01</x:v>
      </x:c>
      <x:c r="B66" s="16" t="str">
        <x:v>Build budget page interface</x:v>
      </x:c>
      <x:c r="C66" s="16" t="str">
        <x:v>Given the PAULUS Build budget page interface task is implemented, the feature should meet the approved capstone requirements and pass review against its expected behavior.</x:v>
      </x:c>
      <x:c r="D66" s="16" t="str">
        <x:v>ClickUp task evidence, implementation output, QA notes, screenshots, tests, or manuscript updates for Build budget page interface.</x:v>
      </x:c>
      <x:c r="E66" s="18" t="n">
        <x:v>0.00175</x:v>
      </x:c>
      <x:c r="F66" s="16" t="str">
        <x:v>planning/backlog</x:v>
      </x:c>
      <x:c r="G66" s="17" t="b">
        <x:v>0</x:v>
      </x:c>
      <x:c r="H66" s="16" t="str">
        <x:v>https://app.clickup.com/t/86d3bwnpy</x:v>
      </x:c>
    </x:row>
    <x:row r="67">
      <x:c r="A67" s="16" t="str">
        <x:v>TEST-01</x:v>
      </x:c>
      <x:c r="B67" s="16" t="str">
        <x:v>Test budget page display, totals, filters, and validation</x:v>
      </x:c>
      <x:c r="C67" s="16" t="str">
        <x:v>Given the PAULUS Test budget page display, totals, filters, and validation task is implemented, the feature should meet the approved capstone requirements and pass review against its expected behavior.</x:v>
      </x:c>
      <x:c r="D67" s="16" t="str">
        <x:v>ClickUp task evidence, implementation output, QA notes, screenshots, tests, or manuscript updates for Test budget page display, totals, filters, and validation.</x:v>
      </x:c>
      <x:c r="E67" s="18" t="n">
        <x:v>0.00175</x:v>
      </x:c>
      <x:c r="F67" s="16" t="str">
        <x:v>planning/backlog</x:v>
      </x:c>
      <x:c r="G67" s="17" t="b">
        <x:v>0</x:v>
      </x:c>
      <x:c r="H67" s="16" t="str">
        <x:v>https://app.clickup.com/t/86d3bwnqd</x:v>
      </x:c>
    </x:row>
    <x:row r="68">
      <x:c r="A68" s="16" t="str">
        <x:v>FIX-01</x:v>
      </x:c>
      <x:c r="B68" s="16" t="str">
        <x:v>Resolve budget page issues</x:v>
      </x:c>
      <x:c r="C68" s="16" t="str">
        <x:v>Given the PAULUS Resolve budget page issues task is implemented, the feature should meet the approved capstone requirements and pass review against its expected behavior.</x:v>
      </x:c>
      <x:c r="D68" s="16" t="str">
        <x:v>ClickUp task evidence, implementation output, QA notes, screenshots, tests, or manuscript updates for Resolve budget page issues.</x:v>
      </x:c>
      <x:c r="E68" s="18" t="n">
        <x:v>0.00175</x:v>
      </x:c>
      <x:c r="F68" s="16" t="str">
        <x:v>planning/backlog</x:v>
      </x:c>
      <x:c r="G68" s="17" t="b">
        <x:v>0</x:v>
      </x:c>
      <x:c r="H68" s="16" t="str">
        <x:v>https://app.clickup.com/t/86d3bwnr7</x:v>
      </x:c>
    </x:row>
    <x:row r="69">
      <x:c r="A69" s="16" t="str">
        <x:v>UAT-01</x:v>
      </x:c>
      <x:c r="B69" s="16" t="str">
        <x:v>Validate budget page with target users</x:v>
      </x:c>
      <x:c r="C69" s="16" t="str">
        <x:v>Given the PAULUS Validate budget page with target users task is implemented, the feature should meet the approved capstone requirements and pass review against its expected behavior.</x:v>
      </x:c>
      <x:c r="D69" s="16" t="str">
        <x:v>ClickUp task evidence, implementation output, QA notes, screenshots, tests, or manuscript updates for Validate budget page with target users.</x:v>
      </x:c>
      <x:c r="E69" s="18" t="n">
        <x:v>0.00175</x:v>
      </x:c>
      <x:c r="F69" s="16" t="str">
        <x:v>planning/backlog</x:v>
      </x:c>
      <x:c r="G69" s="17" t="b">
        <x:v>0</x:v>
      </x:c>
      <x:c r="H69" s="16" t="str">
        <x:v>https://app.clickup.com/t/86d3bwnrz</x:v>
      </x:c>
    </x:row>
    <x:row r="70">
      <x:c r="A70" s="16" t="str">
        <x:v>MS-01</x:v>
      </x:c>
      <x:c r="B70" s="16" t="str">
        <x:v>Document budget page module in Chapter 4</x:v>
      </x:c>
      <x:c r="C70" s="16" t="str">
        <x:v>Given the PAULUS Document budget page module in Chapter 4 task is implemented, the feature should meet the approved capstone requirements and pass review against its expected behavior.</x:v>
      </x:c>
      <x:c r="D70" s="16" t="str">
        <x:v>ClickUp task evidence, implementation output, QA notes, screenshots, tests, or manuscript updates for Document budget page module in Chapter 4.</x:v>
      </x:c>
      <x:c r="E70" s="18" t="n">
        <x:v>0.00175</x:v>
      </x:c>
      <x:c r="F70" s="16" t="str">
        <x:v>planning/backlog</x:v>
      </x:c>
      <x:c r="G70" s="17" t="b">
        <x:v>0</x:v>
      </x:c>
      <x:c r="H70" s="16" t="str">
        <x:v>https://app.clickup.com/t/86d3bwntd</x:v>
      </x:c>
    </x:row>
    <x:row r="71">
      <x:c r="A71" s="26" t="str">
        <x:v>Total Accomplished</x:v>
      </x:c>
      <x:c r="B71" s="26" t="str"/>
      <x:c r="C71" s="26" t="str"/>
      <x:c r="D71" s="26" t="str"/>
      <x:c r="E71" s="27" t="n">
        <x:f>SUM(E64:E70)</x:f>
        <x:v>0.01225</x:v>
      </x:c>
      <x:c r="F71" s="27" t="str"/>
      <x:c r="G71" s="27" t="n">
        <x:f>SUMIF(G64:G70, TRUE, E64:E70)</x:f>
        <x:v>0</x:v>
      </x:c>
      <x:c r="H71" s="26" t="str"/>
    </x:row>
    <x:row r="73">
      <x:c r="A73" s="4" t="str">
        <x:v>Task ID</x:v>
      </x:c>
      <x:c r="B73" s="4" t="str">
        <x:v>EVENTS</x:v>
      </x:c>
      <x:c r="C73" s="4" t="str">
        <x:v>Task Name</x:v>
      </x:c>
      <x:c r="D73" s="4" t="str">
        <x:v>Events Page</x:v>
      </x:c>
      <x:c r="E73" s="4" t="str"/>
      <x:c r="F73" s="4" t="str">
        <x:v>planning/backlog</x:v>
      </x:c>
      <x:c r="G73" s="4" t="str"/>
      <x:c r="H73" s="4" t="str">
        <x:v>https://app.clickup.com/t/86d3bw6gu</x:v>
      </x:c>
    </x:row>
    <x:row r="74">
      <x:c r="A74" s="8" t="str">
        <x:v>Subtask ID</x:v>
      </x:c>
      <x:c r="B74" s="8" t="str">
        <x:v>Subtask / Task Name</x:v>
      </x:c>
      <x:c r="C74" s="8" t="str">
        <x:v>Acceptance Criteria</x:v>
      </x:c>
      <x:c r="D74" s="8" t="str">
        <x:v>Evidence / Deliverable</x:v>
      </x:c>
      <x:c r="E74" s="8" t="str">
        <x:v>Weight Allocation</x:v>
      </x:c>
      <x:c r="F74" s="8" t="str">
        <x:v>ClickUp Status</x:v>
      </x:c>
      <x:c r="G74" s="8" t="str">
        <x:v>Accepted</x:v>
      </x:c>
      <x:c r="H74" s="8" t="str">
        <x:v>ClickUp URL</x:v>
      </x:c>
    </x:row>
    <x:row r="75">
      <x:c r="A75" s="16" t="str">
        <x:v>REQ-01</x:v>
      </x:c>
      <x:c r="B75" s="16" t="str">
        <x:v>Define events page requirements</x:v>
      </x:c>
      <x:c r="C75" s="16" t="str">
        <x:v>Given the PAULUS Define events page requirements task is implemented, the feature should meet the approved capstone requirements and pass review against its expected behavior.</x:v>
      </x:c>
      <x:c r="D75" s="16" t="str">
        <x:v>ClickUp task evidence, implementation output, QA notes, screenshots, tests, or manuscript updates for Define events page requirements.</x:v>
      </x:c>
      <x:c r="E75" s="18" t="n">
        <x:v>0.00175</x:v>
      </x:c>
      <x:c r="F75" s="16" t="str">
        <x:v>planning/backlog</x:v>
      </x:c>
      <x:c r="G75" s="17" t="b">
        <x:v>0</x:v>
      </x:c>
      <x:c r="H75" s="16" t="str">
        <x:v>https://app.clickup.com/t/86d3bwp2n</x:v>
      </x:c>
    </x:row>
    <x:row r="76">
      <x:c r="A76" s="16" t="str">
        <x:v>DES-01</x:v>
      </x:c>
      <x:c r="B76" s="16" t="str">
        <x:v>Design events page interface and calendar workflow</x:v>
      </x:c>
      <x:c r="C76" s="16" t="str">
        <x:v>Given the PAULUS Design events page interface and calendar workflow task is implemented, the feature should meet the approved capstone requirements and pass review against its expected behavior.</x:v>
      </x:c>
      <x:c r="D76" s="16" t="str">
        <x:v>ClickUp task evidence, implementation output, QA notes, screenshots, tests, or manuscript updates for Design events page interface and calendar workflow.</x:v>
      </x:c>
      <x:c r="E76" s="18" t="n">
        <x:v>0.00175</x:v>
      </x:c>
      <x:c r="F76" s="16" t="str">
        <x:v>planning/backlog</x:v>
      </x:c>
      <x:c r="G76" s="17" t="b">
        <x:v>0</x:v>
      </x:c>
      <x:c r="H76" s="16" t="str">
        <x:v>https://app.clickup.com/t/86d3bwp2z</x:v>
      </x:c>
    </x:row>
    <x:row r="77">
      <x:c r="A77" s="16" t="str">
        <x:v>DEV-01</x:v>
      </x:c>
      <x:c r="B77" s="16" t="str">
        <x:v>Build events page interface</x:v>
      </x:c>
      <x:c r="C77" s="16" t="str">
        <x:v>Given the PAULUS Build events page interface task is implemented, the feature should meet the approved capstone requirements and pass review against its expected behavior.</x:v>
      </x:c>
      <x:c r="D77" s="16" t="str">
        <x:v>ClickUp task evidence, implementation output, QA notes, screenshots, tests, or manuscript updates for Build events page interface.</x:v>
      </x:c>
      <x:c r="E77" s="18" t="n">
        <x:v>0.00175</x:v>
      </x:c>
      <x:c r="F77" s="16" t="str">
        <x:v>planning/backlog</x:v>
      </x:c>
      <x:c r="G77" s="17" t="b">
        <x:v>0</x:v>
      </x:c>
      <x:c r="H77" s="16" t="str">
        <x:v>https://app.clickup.com/t/86d3bwp3a</x:v>
      </x:c>
    </x:row>
    <x:row r="78">
      <x:c r="A78" s="16" t="str">
        <x:v>TEST-01</x:v>
      </x:c>
      <x:c r="B78" s="16" t="str">
        <x:v>Test event creation, editing, viewing, filtering, and validation</x:v>
      </x:c>
      <x:c r="C78" s="16" t="str">
        <x:v>Given the PAULUS Test event creation, editing, viewing, filtering, and validation task is implemented, the feature should meet the approved capstone requirements and pass review against its expected behavior.</x:v>
      </x:c>
      <x:c r="D78" s="16" t="str">
        <x:v>ClickUp task evidence, implementation output, QA notes, screenshots, tests, or manuscript updates for Test event creation, editing, viewing, filtering, and validation.</x:v>
      </x:c>
      <x:c r="E78" s="18" t="n">
        <x:v>0.00175</x:v>
      </x:c>
      <x:c r="F78" s="16" t="str">
        <x:v>planning/backlog</x:v>
      </x:c>
      <x:c r="G78" s="17" t="b">
        <x:v>0</x:v>
      </x:c>
      <x:c r="H78" s="16" t="str">
        <x:v>https://app.clickup.com/t/86d3bwp3w</x:v>
      </x:c>
    </x:row>
    <x:row r="79">
      <x:c r="A79" s="16" t="str">
        <x:v>FIX-01</x:v>
      </x:c>
      <x:c r="B79" s="16" t="str">
        <x:v>Resolve events page issues</x:v>
      </x:c>
      <x:c r="C79" s="16" t="str">
        <x:v>Given the PAULUS Resolve events page issues task is implemented, the feature should meet the approved capstone requirements and pass review against its expected behavior.</x:v>
      </x:c>
      <x:c r="D79" s="16" t="str">
        <x:v>ClickUp task evidence, implementation output, QA notes, screenshots, tests, or manuscript updates for Resolve events page issues.</x:v>
      </x:c>
      <x:c r="E79" s="18" t="n">
        <x:v>0.00175</x:v>
      </x:c>
      <x:c r="F79" s="16" t="str">
        <x:v>planning/backlog</x:v>
      </x:c>
      <x:c r="G79" s="17" t="b">
        <x:v>0</x:v>
      </x:c>
      <x:c r="H79" s="16" t="str">
        <x:v>https://app.clickup.com/t/86d3bwp4c</x:v>
      </x:c>
    </x:row>
    <x:row r="80">
      <x:c r="A80" s="16" t="str">
        <x:v>UAT-01</x:v>
      </x:c>
      <x:c r="B80" s="16" t="str">
        <x:v>Validate events page with target users</x:v>
      </x:c>
      <x:c r="C80" s="16" t="str">
        <x:v>Given the PAULUS Validate events page with target users task is implemented, the feature should meet the approved capstone requirements and pass review against its expected behavior.</x:v>
      </x:c>
      <x:c r="D80" s="16" t="str">
        <x:v>ClickUp task evidence, implementation output, QA notes, screenshots, tests, or manuscript updates for Validate events page with target users.</x:v>
      </x:c>
      <x:c r="E80" s="18" t="n">
        <x:v>0.00175</x:v>
      </x:c>
      <x:c r="F80" s="16" t="str">
        <x:v>planning/backlog</x:v>
      </x:c>
      <x:c r="G80" s="17" t="b">
        <x:v>0</x:v>
      </x:c>
      <x:c r="H80" s="16" t="str">
        <x:v>https://app.clickup.com/t/86d3bwp4t</x:v>
      </x:c>
    </x:row>
    <x:row r="81">
      <x:c r="A81" s="16" t="str">
        <x:v>MS-01</x:v>
      </x:c>
      <x:c r="B81" s="16" t="str">
        <x:v>Document events page module in Chapter 4</x:v>
      </x:c>
      <x:c r="C81" s="16" t="str">
        <x:v>Given the PAULUS Document events page module in Chapter 4 task is implemented, the feature should meet the approved capstone requirements and pass review against its expected behavior.</x:v>
      </x:c>
      <x:c r="D81" s="16" t="str">
        <x:v>ClickUp task evidence, implementation output, QA notes, screenshots, tests, or manuscript updates for Document events page module in Chapter 4.</x:v>
      </x:c>
      <x:c r="E81" s="18" t="n">
        <x:v>0.00175</x:v>
      </x:c>
      <x:c r="F81" s="16" t="str">
        <x:v>planning/backlog</x:v>
      </x:c>
      <x:c r="G81" s="17" t="b">
        <x:v>0</x:v>
      </x:c>
      <x:c r="H81" s="16" t="str">
        <x:v>https://app.clickup.com/t/86d3bwp8g</x:v>
      </x:c>
    </x:row>
    <x:row r="82">
      <x:c r="A82" s="26" t="str">
        <x:v>Total Accomplished</x:v>
      </x:c>
      <x:c r="B82" s="26" t="str"/>
      <x:c r="C82" s="26" t="str"/>
      <x:c r="D82" s="26" t="str"/>
      <x:c r="E82" s="27" t="n">
        <x:f>SUM(E75:E81)</x:f>
        <x:v>0.01225</x:v>
      </x:c>
      <x:c r="F82" s="27" t="str"/>
      <x:c r="G82" s="27" t="n">
        <x:f>SUMIF(G75:G81, TRUE, E75:E81)</x:f>
        <x:v>0</x:v>
      </x:c>
      <x:c r="H82" s="26" t="str"/>
    </x:row>
    <x:row r="84">
      <x:c r="A84" s="4" t="str">
        <x:v>Task ID</x:v>
      </x:c>
      <x:c r="B84" s="4" t="str">
        <x:v>REPORT</x:v>
      </x:c>
      <x:c r="C84" s="4" t="str">
        <x:v>Task Name</x:v>
      </x:c>
      <x:c r="D84" s="4" t="str">
        <x:v>Report Viewing and Export Interface</x:v>
      </x:c>
      <x:c r="E84" s="4" t="str"/>
      <x:c r="F84" s="4" t="str">
        <x:v>for qa / internal testing</x:v>
      </x:c>
      <x:c r="G84" s="4" t="str"/>
      <x:c r="H84" s="4" t="str">
        <x:v>https://app.clickup.com/t/86d38tgc8</x:v>
      </x:c>
    </x:row>
    <x:row r="85">
      <x:c r="A85" s="8" t="str">
        <x:v>Subtask ID</x:v>
      </x:c>
      <x:c r="B85" s="8" t="str">
        <x:v>Subtask / Task Name</x:v>
      </x:c>
      <x:c r="C85" s="8" t="str">
        <x:v>Acceptance Criteria</x:v>
      </x:c>
      <x:c r="D85" s="8" t="str">
        <x:v>Evidence / Deliverable</x:v>
      </x:c>
      <x:c r="E85" s="8" t="str">
        <x:v>Weight Allocation</x:v>
      </x:c>
      <x:c r="F85" s="8" t="str">
        <x:v>ClickUp Status</x:v>
      </x:c>
      <x:c r="G85" s="8" t="str">
        <x:v>Accepted</x:v>
      </x:c>
      <x:c r="H85" s="8" t="str">
        <x:v>ClickUp URL</x:v>
      </x:c>
    </x:row>
    <x:row r="86">
      <x:c r="A86" s="16" t="str">
        <x:v>REQ-01</x:v>
      </x:c>
      <x:c r="B86" s="16" t="str">
        <x:v>Define report viewing and export requirements</x:v>
      </x:c>
      <x:c r="C86" s="16" t="str">
        <x:v>Given the PAULUS Define report viewing and export requirements task is implemented, the feature should meet the approved capstone requirements and pass review against its expected behavior.</x:v>
      </x:c>
      <x:c r="D86" s="16" t="str">
        <x:v>ClickUp task evidence, implementation output, QA notes, screenshots, tests, or manuscript updates for Define report viewing and export requirements.</x:v>
      </x:c>
      <x:c r="E86" s="18" t="n">
        <x:v>0.0013611111111111111</x:v>
      </x:c>
      <x:c r="F86" s="16" t="str">
        <x:v>planning/backlog</x:v>
      </x:c>
      <x:c r="G86" s="17" t="b">
        <x:v>0</x:v>
      </x:c>
      <x:c r="H86" s="16" t="str">
        <x:v>https://app.clickup.com/t/86d390bx9</x:v>
      </x:c>
    </x:row>
    <x:row r="87">
      <x:c r="A87" s="16" t="str">
        <x:v>DES-01</x:v>
      </x:c>
      <x:c r="B87" s="16" t="str">
        <x:v>Design report viewing interface</x:v>
      </x:c>
      <x:c r="C87" s="16" t="str">
        <x:v>Given the PAULUS Design report viewing interface task is implemented, the feature should meet the approved capstone requirements and pass review against its expected behavior.</x:v>
      </x:c>
      <x:c r="D87" s="16" t="str">
        <x:v>ClickUp task evidence, implementation output, QA notes, screenshots, tests, or manuscript updates for Design report viewing interface.</x:v>
      </x:c>
      <x:c r="E87" s="18" t="n">
        <x:v>0.0013611111111111111</x:v>
      </x:c>
      <x:c r="F87" s="16" t="str">
        <x:v>planning/backlog</x:v>
      </x:c>
      <x:c r="G87" s="17" t="b">
        <x:v>0</x:v>
      </x:c>
      <x:c r="H87" s="16" t="str">
        <x:v>https://app.clickup.com/t/86d390bz6</x:v>
      </x:c>
    </x:row>
    <x:row r="88">
      <x:c r="A88" s="16" t="str">
        <x:v>DEV-01</x:v>
      </x:c>
      <x:c r="B88" s="16" t="str">
        <x:v>Build report list and viewing page</x:v>
      </x:c>
      <x:c r="C88" s="16" t="str">
        <x:v>Given the PAULUS Build report list and viewing page task is implemented, the feature should meet the approved capstone requirements and pass review against its expected behavior.</x:v>
      </x:c>
      <x:c r="D88" s="16" t="str">
        <x:v>ClickUp task evidence, implementation output, QA notes, screenshots, tests, or manuscript updates for Build report list and viewing page.</x:v>
      </x:c>
      <x:c r="E88" s="18" t="n">
        <x:v>0.0013611111111111111</x:v>
      </x:c>
      <x:c r="F88" s="16" t="str">
        <x:v>planning/backlog</x:v>
      </x:c>
      <x:c r="G88" s="17" t="b">
        <x:v>0</x:v>
      </x:c>
      <x:c r="H88" s="16" t="str">
        <x:v>https://app.clickup.com/t/86d390c0j</x:v>
      </x:c>
    </x:row>
    <x:row r="89">
      <x:c r="A89" s="16" t="str">
        <x:v>DEV-02</x:v>
      </x:c>
      <x:c r="B89" s="16" t="str">
        <x:v>Add report filters and search function</x:v>
      </x:c>
      <x:c r="C89" s="16" t="str">
        <x:v>Given the PAULUS Add report filters and search function task is implemented, the feature should meet the approved capstone requirements and pass review against its expected behavior.</x:v>
      </x:c>
      <x:c r="D89" s="16" t="str">
        <x:v>ClickUp task evidence, implementation output, QA notes, screenshots, tests, or manuscript updates for Add report filters and search function.</x:v>
      </x:c>
      <x:c r="E89" s="18" t="n">
        <x:v>0.0013611111111111111</x:v>
      </x:c>
      <x:c r="F89" s="16" t="str">
        <x:v>planning/backlog</x:v>
      </x:c>
      <x:c r="G89" s="17" t="b">
        <x:v>0</x:v>
      </x:c>
      <x:c r="H89" s="16" t="str">
        <x:v>https://app.clickup.com/t/86d390c1q</x:v>
      </x:c>
    </x:row>
    <x:row r="90">
      <x:c r="A90" s="16" t="str">
        <x:v>DEV-03</x:v>
      </x:c>
      <x:c r="B90" s="16" t="str">
        <x:v>Add export button and download behavior</x:v>
      </x:c>
      <x:c r="C90" s="16" t="str">
        <x:v>Given the PAULUS Add export button and download behavior task is implemented, the feature should meet the approved capstone requirements and pass review against its expected behavior.</x:v>
      </x:c>
      <x:c r="D90" s="16" t="str">
        <x:v>ClickUp task evidence, implementation output, QA notes, screenshots, tests, or manuscript updates for Add export button and download behavior.</x:v>
      </x:c>
      <x:c r="E90" s="18" t="n">
        <x:v>0.0013611111111111111</x:v>
      </x:c>
      <x:c r="F90" s="16" t="str">
        <x:v>planning/backlog</x:v>
      </x:c>
      <x:c r="G90" s="17" t="b">
        <x:v>0</x:v>
      </x:c>
      <x:c r="H90" s="16" t="str">
        <x:v>https://app.clickup.com/t/86d390c39</x:v>
      </x:c>
    </x:row>
    <x:row r="91">
      <x:c r="A91" s="16" t="str">
        <x:v>TEST-01</x:v>
      </x:c>
      <x:c r="B91" s="16" t="str">
        <x:v>Test report viewing and export behavior</x:v>
      </x:c>
      <x:c r="C91" s="16" t="str">
        <x:v>Given the PAULUS Test report viewing and export behavior task is implemented, the feature should meet the approved capstone requirements and pass review against its expected behavior.</x:v>
      </x:c>
      <x:c r="D91" s="16" t="str">
        <x:v>ClickUp task evidence, implementation output, QA notes, screenshots, tests, or manuscript updates for Test report viewing and export behavior.</x:v>
      </x:c>
      <x:c r="E91" s="18" t="n">
        <x:v>0.0013611111111111111</x:v>
      </x:c>
      <x:c r="F91" s="16" t="str">
        <x:v>planning/backlog</x:v>
      </x:c>
      <x:c r="G91" s="17" t="b">
        <x:v>0</x:v>
      </x:c>
      <x:c r="H91" s="16" t="str">
        <x:v>https://app.clickup.com/t/86d390c6b</x:v>
      </x:c>
    </x:row>
    <x:row r="92">
      <x:c r="A92" s="16" t="str">
        <x:v>FIX-01</x:v>
      </x:c>
      <x:c r="B92" s="16" t="str">
        <x:v>Resolve report display and export issues</x:v>
      </x:c>
      <x:c r="C92" s="16" t="str">
        <x:v>Given the PAULUS Resolve report display and export issues task is implemented, the feature should meet the approved capstone requirements and pass review against its expected behavior.</x:v>
      </x:c>
      <x:c r="D92" s="16" t="str">
        <x:v>ClickUp task evidence, implementation output, QA notes, screenshots, tests, or manuscript updates for Resolve report display and export issues.</x:v>
      </x:c>
      <x:c r="E92" s="18" t="n">
        <x:v>0.0013611111111111111</x:v>
      </x:c>
      <x:c r="F92" s="16" t="str">
        <x:v>planning/backlog</x:v>
      </x:c>
      <x:c r="G92" s="17" t="b">
        <x:v>0</x:v>
      </x:c>
      <x:c r="H92" s="16" t="str">
        <x:v>https://app.clickup.com/t/86d390c85</x:v>
      </x:c>
    </x:row>
    <x:row r="93">
      <x:c r="A93" s="16" t="str">
        <x:v>UAT-01</x:v>
      </x:c>
      <x:c r="B93" s="16" t="str">
        <x:v>Validate report viewing and export with target users</x:v>
      </x:c>
      <x:c r="C93" s="16" t="str">
        <x:v>Given the PAULUS Validate report viewing and export with target users task is implemented, the feature should meet the approved capstone requirements and pass review against its expected behavior.</x:v>
      </x:c>
      <x:c r="D93" s="16" t="str">
        <x:v>ClickUp task evidence, implementation output, QA notes, screenshots, tests, or manuscript updates for Validate report viewing and export with target users.</x:v>
      </x:c>
      <x:c r="E93" s="18" t="n">
        <x:v>0.0013611111111111111</x:v>
      </x:c>
      <x:c r="F93" s="16" t="str">
        <x:v>planning/backlog</x:v>
      </x:c>
      <x:c r="G93" s="17" t="b">
        <x:v>0</x:v>
      </x:c>
      <x:c r="H93" s="16" t="str">
        <x:v>https://app.clickup.com/t/86d390ca9</x:v>
      </x:c>
    </x:row>
    <x:row r="94">
      <x:c r="A94" s="16" t="str">
        <x:v>MS-01</x:v>
      </x:c>
      <x:c r="B94" s="16" t="str">
        <x:v>Document report interface in Chapter 4</x:v>
      </x:c>
      <x:c r="C94" s="16" t="str">
        <x:v>Given the PAULUS Document report interface in Chapter 4 task is implemented, the feature should meet the approved capstone requirements and pass review against its expected behavior.</x:v>
      </x:c>
      <x:c r="D94" s="16" t="str">
        <x:v>ClickUp task evidence, implementation output, QA notes, screenshots, tests, or manuscript updates for Document report interface in Chapter 4.</x:v>
      </x:c>
      <x:c r="E94" s="18" t="n">
        <x:v>0.0013611111111111111</x:v>
      </x:c>
      <x:c r="F94" s="16" t="str">
        <x:v>planning/backlog</x:v>
      </x:c>
      <x:c r="G94" s="17" t="b">
        <x:v>0</x:v>
      </x:c>
      <x:c r="H94" s="16" t="str">
        <x:v>https://app.clickup.com/t/86d390cbj</x:v>
      </x:c>
    </x:row>
    <x:row r="95">
      <x:c r="A95" s="26" t="str">
        <x:v>Total Accomplished</x:v>
      </x:c>
      <x:c r="B95" s="26" t="str"/>
      <x:c r="C95" s="26" t="str"/>
      <x:c r="D95" s="26" t="str"/>
      <x:c r="E95" s="27" t="n">
        <x:f>SUM(E86:E94)</x:f>
        <x:v>0.012250000000000002</x:v>
      </x:c>
      <x:c r="F95" s="27" t="str"/>
      <x:c r="G95" s="27" t="n">
        <x:f>SUMIF(G86:G94, TRUE, E86:E94)</x:f>
        <x:v>0</x:v>
      </x:c>
      <x:c r="H95" s="26" t="str"/>
    </x:row>
    <x:row r="97">
      <x:c r="A97" s="4" t="str">
        <x:v>Task ID</x:v>
      </x:c>
      <x:c r="B97" s="4" t="str">
        <x:v>GEO</x:v>
      </x:c>
      <x:c r="C97" s="4" t="str">
        <x:v>Task Name</x:v>
      </x:c>
      <x:c r="D97" s="4" t="str">
        <x:v>Geospatial Institution Map</x:v>
      </x:c>
      <x:c r="E97" s="4" t="str"/>
      <x:c r="F97" s="4" t="str">
        <x:v>for qa / internal testing</x:v>
      </x:c>
      <x:c r="G97" s="4" t="str"/>
      <x:c r="H97" s="4" t="str">
        <x:v>https://app.clickup.com/t/86d38tged</x:v>
      </x:c>
    </x:row>
    <x:row r="98">
      <x:c r="A98" s="8" t="str">
        <x:v>Subtask ID</x:v>
      </x:c>
      <x:c r="B98" s="8" t="str">
        <x:v>Subtask / Task Name</x:v>
      </x:c>
      <x:c r="C98" s="8" t="str">
        <x:v>Acceptance Criteria</x:v>
      </x:c>
      <x:c r="D98" s="8" t="str">
        <x:v>Evidence / Deliverable</x:v>
      </x:c>
      <x:c r="E98" s="8" t="str">
        <x:v>Weight Allocation</x:v>
      </x:c>
      <x:c r="F98" s="8" t="str">
        <x:v>ClickUp Status</x:v>
      </x:c>
      <x:c r="G98" s="8" t="str">
        <x:v>Accepted</x:v>
      </x:c>
      <x:c r="H98" s="8" t="str">
        <x:v>ClickUp URL</x:v>
      </x:c>
    </x:row>
    <x:row r="99">
      <x:c r="A99" s="16" t="str">
        <x:v>REQ-01</x:v>
      </x:c>
      <x:c r="B99" s="16" t="str">
        <x:v>Define geospatial institution map requirements</x:v>
      </x:c>
      <x:c r="C99" s="16" t="str">
        <x:v>Given the PAULUS Define geospatial institution map requirements task is implemented, the feature should meet the approved capstone requirements and pass review against its expected behavior.</x:v>
      </x:c>
      <x:c r="D99" s="16" t="str">
        <x:v>ClickUp task evidence, implementation output, QA notes, screenshots, tests, or manuscript updates for Define geospatial institution map requirements.</x:v>
      </x:c>
      <x:c r="E99" s="18" t="n">
        <x:v>0.0013611111111111111</x:v>
      </x:c>
      <x:c r="F99" s="16" t="str">
        <x:v>planning/backlog</x:v>
      </x:c>
      <x:c r="G99" s="17" t="b">
        <x:v>0</x:v>
      </x:c>
      <x:c r="H99" s="16" t="str">
        <x:v>https://app.clickup.com/t/86d3906ne</x:v>
      </x:c>
    </x:row>
    <x:row r="100">
      <x:c r="A100" s="16" t="str">
        <x:v>DES-01</x:v>
      </x:c>
      <x:c r="B100" s="16" t="str">
        <x:v>Design geospatial map interface</x:v>
      </x:c>
      <x:c r="C100" s="16" t="str">
        <x:v>Given the PAULUS Design geospatial map interface task is implemented, the feature should meet the approved capstone requirements and pass review against its expected behavior.</x:v>
      </x:c>
      <x:c r="D100" s="16" t="str">
        <x:v>ClickUp task evidence, implementation output, QA notes, screenshots, tests, or manuscript updates for Design geospatial map interface.</x:v>
      </x:c>
      <x:c r="E100" s="18" t="n">
        <x:v>0.0013611111111111111</x:v>
      </x:c>
      <x:c r="F100" s="16" t="str">
        <x:v>planning/backlog</x:v>
      </x:c>
      <x:c r="G100" s="17" t="b">
        <x:v>0</x:v>
      </x:c>
      <x:c r="H100" s="16" t="str">
        <x:v>https://app.clickup.com/t/86d3906qu</x:v>
      </x:c>
    </x:row>
    <x:row r="101">
      <x:c r="A101" s="16" t="str">
        <x:v>DEV-01</x:v>
      </x:c>
      <x:c r="B101" s="16" t="str">
        <x:v>Build geospatial institution map layout</x:v>
      </x:c>
      <x:c r="C101" s="16" t="str">
        <x:v>Given the PAULUS Build geospatial institution map layout task is implemented, the feature should meet the approved capstone requirements and pass review against its expected behavior.</x:v>
      </x:c>
      <x:c r="D101" s="16" t="str">
        <x:v>ClickUp task evidence, implementation output, QA notes, screenshots, tests, or manuscript updates for Build geospatial institution map layout.</x:v>
      </x:c>
      <x:c r="E101" s="18" t="n">
        <x:v>0.0013611111111111111</x:v>
      </x:c>
      <x:c r="F101" s="16" t="str">
        <x:v>planning/backlog</x:v>
      </x:c>
      <x:c r="G101" s="17" t="b">
        <x:v>0</x:v>
      </x:c>
      <x:c r="H101" s="16" t="str">
        <x:v>https://app.clickup.com/t/86d3906t0</x:v>
      </x:c>
    </x:row>
    <x:row r="102">
      <x:c r="A102" s="16" t="str">
        <x:v>DEV-02</x:v>
      </x:c>
      <x:c r="B102" s="16" t="str">
        <x:v>Add institution markers and filters</x:v>
      </x:c>
      <x:c r="C102" s="16" t="str">
        <x:v>Given the PAULUS Add institution markers and filters task is implemented, the feature should meet the approved capstone requirements and pass review against its expected behavior.</x:v>
      </x:c>
      <x:c r="D102" s="16" t="str">
        <x:v>ClickUp task evidence, implementation output, QA notes, screenshots, tests, or manuscript updates for Add institution markers and filters.</x:v>
      </x:c>
      <x:c r="E102" s="18" t="n">
        <x:v>0.0013611111111111111</x:v>
      </x:c>
      <x:c r="F102" s="16" t="str">
        <x:v>planning/backlog</x:v>
      </x:c>
      <x:c r="G102" s="17" t="b">
        <x:v>0</x:v>
      </x:c>
      <x:c r="H102" s="16" t="str">
        <x:v>https://app.clickup.com/t/86d3906v8</x:v>
      </x:c>
    </x:row>
    <x:row r="103">
      <x:c r="A103" s="16" t="str">
        <x:v>DEV-03</x:v>
      </x:c>
      <x:c r="B103" s="16" t="str">
        <x:v>Connect geospatial map to institution data</x:v>
      </x:c>
      <x:c r="C103" s="16" t="str">
        <x:v>Given the PAULUS Connect geospatial map to institution data task is implemented, the feature should meet the approved capstone requirements and pass review against its expected behavior.</x:v>
      </x:c>
      <x:c r="D103" s="16" t="str">
        <x:v>ClickUp task evidence, implementation output, QA notes, screenshots, tests, or manuscript updates for Connect geospatial map to institution data.</x:v>
      </x:c>
      <x:c r="E103" s="18" t="n">
        <x:v>0.0013611111111111111</x:v>
      </x:c>
      <x:c r="F103" s="16" t="str">
        <x:v>planning/backlog</x:v>
      </x:c>
      <x:c r="G103" s="17" t="b">
        <x:v>0</x:v>
      </x:c>
      <x:c r="H103" s="16" t="str">
        <x:v>https://app.clickup.com/t/86d3906xe</x:v>
      </x:c>
    </x:row>
    <x:row r="104">
      <x:c r="A104" s="16" t="str">
        <x:v>TEST-01</x:v>
      </x:c>
      <x:c r="B104" s="16" t="str">
        <x:v>Test map display and filters</x:v>
      </x:c>
      <x:c r="C104" s="16" t="str">
        <x:v>Given the PAULUS Test map display and filters task is implemented, the feature should meet the approved capstone requirements and pass review against its expected behavior.</x:v>
      </x:c>
      <x:c r="D104" s="16" t="str">
        <x:v>ClickUp task evidence, implementation output, QA notes, screenshots, tests, or manuscript updates for Test map display and filters.</x:v>
      </x:c>
      <x:c r="E104" s="18" t="n">
        <x:v>0.0013611111111111111</x:v>
      </x:c>
      <x:c r="F104" s="16" t="str">
        <x:v>planning/backlog</x:v>
      </x:c>
      <x:c r="G104" s="17" t="b">
        <x:v>0</x:v>
      </x:c>
      <x:c r="H104" s="16" t="str">
        <x:v>https://app.clickup.com/t/86d3906ym</x:v>
      </x:c>
    </x:row>
    <x:row r="105">
      <x:c r="A105" s="16" t="str">
        <x:v>FIX-01</x:v>
      </x:c>
      <x:c r="B105" s="16" t="str">
        <x:v>Resolve geospatial map issues</x:v>
      </x:c>
      <x:c r="C105" s="16" t="str">
        <x:v>Given the PAULUS Resolve geospatial map issues task is implemented, the feature should meet the approved capstone requirements and pass review against its expected behavior.</x:v>
      </x:c>
      <x:c r="D105" s="16" t="str">
        <x:v>ClickUp task evidence, implementation output, QA notes, screenshots, tests, or manuscript updates for Resolve geospatial map issues.</x:v>
      </x:c>
      <x:c r="E105" s="18" t="n">
        <x:v>0.0013611111111111111</x:v>
      </x:c>
      <x:c r="F105" s="16" t="str">
        <x:v>planning/backlog</x:v>
      </x:c>
      <x:c r="G105" s="17" t="b">
        <x:v>0</x:v>
      </x:c>
      <x:c r="H105" s="16" t="str">
        <x:v>https://app.clickup.com/t/86d3906zr</x:v>
      </x:c>
    </x:row>
    <x:row r="106">
      <x:c r="A106" s="16" t="str">
        <x:v>UAT-01</x:v>
      </x:c>
      <x:c r="B106" s="16" t="str">
        <x:v>Validate geospatial map with target users</x:v>
      </x:c>
      <x:c r="C106" s="16" t="str">
        <x:v>Given the PAULUS Validate geospatial map with target users task is implemented, the feature should meet the approved capstone requirements and pass review against its expected behavior.</x:v>
      </x:c>
      <x:c r="D106" s="16" t="str">
        <x:v>ClickUp task evidence, implementation output, QA notes, screenshots, tests, or manuscript updates for Validate geospatial map with target users.</x:v>
      </x:c>
      <x:c r="E106" s="18" t="n">
        <x:v>0.0013611111111111111</x:v>
      </x:c>
      <x:c r="F106" s="16" t="str">
        <x:v>planning/backlog</x:v>
      </x:c>
      <x:c r="G106" s="17" t="b">
        <x:v>0</x:v>
      </x:c>
      <x:c r="H106" s="16" t="str">
        <x:v>https://app.clickup.com/t/86d390720</x:v>
      </x:c>
    </x:row>
    <x:row r="107">
      <x:c r="A107" s="16" t="str">
        <x:v>MS-01</x:v>
      </x:c>
      <x:c r="B107" s="16" t="str">
        <x:v>Document geospatial map interface in Chapter 4</x:v>
      </x:c>
      <x:c r="C107" s="16" t="str">
        <x:v>Given the PAULUS Document geospatial map interface in Chapter 4 task is implemented, the feature should meet the approved capstone requirements and pass review against its expected behavior.</x:v>
      </x:c>
      <x:c r="D107" s="16" t="str">
        <x:v>ClickUp task evidence, implementation output, QA notes, screenshots, tests, or manuscript updates for Document geospatial map interface in Chapter 4.</x:v>
      </x:c>
      <x:c r="E107" s="18" t="n">
        <x:v>0.0013611111111111111</x:v>
      </x:c>
      <x:c r="F107" s="16" t="str">
        <x:v>planning/backlog</x:v>
      </x:c>
      <x:c r="G107" s="17" t="b">
        <x:v>0</x:v>
      </x:c>
      <x:c r="H107" s="16" t="str">
        <x:v>https://app.clickup.com/t/86d39074t</x:v>
      </x:c>
    </x:row>
    <x:row r="108">
      <x:c r="A108" s="26" t="str">
        <x:v>Total Accomplished</x:v>
      </x:c>
      <x:c r="B108" s="26" t="str"/>
      <x:c r="C108" s="26" t="str"/>
      <x:c r="D108" s="26" t="str"/>
      <x:c r="E108" s="27" t="n">
        <x:f>SUM(E99:E107)</x:f>
        <x:v>0.012250000000000002</x:v>
      </x:c>
      <x:c r="F108" s="27" t="str"/>
      <x:c r="G108" s="27" t="n">
        <x:f>SUMIF(G99:G107, TRUE, E99:E107)</x:f>
        <x:v>0</x:v>
      </x:c>
      <x:c r="H108" s="26" t="str"/>
    </x:row>
    <x:row r="110">
      <x:c r="A110" s="4" t="str">
        <x:v>Task ID</x:v>
      </x:c>
      <x:c r="B110" s="4" t="str">
        <x:v>PRST</x:v>
      </x:c>
      <x:c r="C110" s="4" t="str">
        <x:v>Task Name</x:v>
      </x:c>
      <x:c r="D110" s="4" t="str">
        <x:v>Priest Health Tracker Interface</x:v>
      </x:c>
      <x:c r="E110" s="4" t="str"/>
      <x:c r="F110" s="4" t="str">
        <x:v>for qa / internal testing</x:v>
      </x:c>
      <x:c r="G110" s="4" t="str"/>
      <x:c r="H110" s="4" t="str">
        <x:v>https://app.clickup.com/t/86d38tgmg</x:v>
      </x:c>
    </x:row>
    <x:row r="111">
      <x:c r="A111" s="8" t="str">
        <x:v>Subtask ID</x:v>
      </x:c>
      <x:c r="B111" s="8" t="str">
        <x:v>Subtask / Task Name</x:v>
      </x:c>
      <x:c r="C111" s="8" t="str">
        <x:v>Acceptance Criteria</x:v>
      </x:c>
      <x:c r="D111" s="8" t="str">
        <x:v>Evidence / Deliverable</x:v>
      </x:c>
      <x:c r="E111" s="8" t="str">
        <x:v>Weight Allocation</x:v>
      </x:c>
      <x:c r="F111" s="8" t="str">
        <x:v>ClickUp Status</x:v>
      </x:c>
      <x:c r="G111" s="8" t="str">
        <x:v>Accepted</x:v>
      </x:c>
      <x:c r="H111" s="8" t="str">
        <x:v>ClickUp URL</x:v>
      </x:c>
    </x:row>
    <x:row r="112">
      <x:c r="A112" s="16" t="str">
        <x:v>REQ-01</x:v>
      </x:c>
      <x:c r="B112" s="16" t="str">
        <x:v>Define priest health tracker requirements</x:v>
      </x:c>
      <x:c r="C112" s="16" t="str">
        <x:v>Given the PAULUS Define priest health tracker requirements task is implemented, the feature should meet the approved capstone requirements and pass review against its expected behavior.</x:v>
      </x:c>
      <x:c r="D112" s="16" t="str">
        <x:v>ClickUp task evidence, implementation output, QA notes, screenshots, tests, or manuscript updates for Define priest health tracker requirements.</x:v>
      </x:c>
      <x:c r="E112" s="18" t="n">
        <x:v>0.0013611111111111111</x:v>
      </x:c>
      <x:c r="F112" s="16" t="str">
        <x:v>planning/backlog</x:v>
      </x:c>
      <x:c r="G112" s="17" t="b">
        <x:v>0</x:v>
      </x:c>
      <x:c r="H112" s="16" t="str">
        <x:v>https://app.clickup.com/t/86d3904e2</x:v>
      </x:c>
    </x:row>
    <x:row r="113">
      <x:c r="A113" s="16" t="str">
        <x:v>DES-01</x:v>
      </x:c>
      <x:c r="B113" s="16" t="str">
        <x:v>Design priest health tracker interface</x:v>
      </x:c>
      <x:c r="C113" s="16" t="str">
        <x:v>Given the PAULUS Design priest health tracker interface task is implemented, the feature should meet the approved capstone requirements and pass review against its expected behavior.</x:v>
      </x:c>
      <x:c r="D113" s="16" t="str">
        <x:v>ClickUp task evidence, implementation output, QA notes, screenshots, tests, or manuscript updates for Design priest health tracker interface.</x:v>
      </x:c>
      <x:c r="E113" s="18" t="n">
        <x:v>0.0013611111111111111</x:v>
      </x:c>
      <x:c r="F113" s="16" t="str">
        <x:v>planning/backlog</x:v>
      </x:c>
      <x:c r="G113" s="17" t="b">
        <x:v>0</x:v>
      </x:c>
      <x:c r="H113" s="16" t="str">
        <x:v>https://app.clickup.com/t/86d3904f1</x:v>
      </x:c>
    </x:row>
    <x:row r="114">
      <x:c r="A114" s="16" t="str">
        <x:v>DEV-01</x:v>
      </x:c>
      <x:c r="B114" s="16" t="str">
        <x:v>Build priest health profile page</x:v>
      </x:c>
      <x:c r="C114" s="16" t="str">
        <x:v>Given the PAULUS Build priest health profile page task is implemented, the feature should meet the approved capstone requirements and pass review against its expected behavior.</x:v>
      </x:c>
      <x:c r="D114" s="16" t="str">
        <x:v>ClickUp task evidence, implementation output, QA notes, screenshots, tests, or manuscript updates for Build priest health profile page.</x:v>
      </x:c>
      <x:c r="E114" s="18" t="n">
        <x:v>0.0013611111111111111</x:v>
      </x:c>
      <x:c r="F114" s="16" t="str">
        <x:v>planning/backlog</x:v>
      </x:c>
      <x:c r="G114" s="17" t="b">
        <x:v>0</x:v>
      </x:c>
      <x:c r="H114" s="16" t="str">
        <x:v>https://app.clickup.com/t/86d3904g5</x:v>
      </x:c>
    </x:row>
    <x:row r="115">
      <x:c r="A115" s="16" t="str">
        <x:v>DEV-02</x:v>
      </x:c>
      <x:c r="B115" s="16" t="str">
        <x:v>Build health record entry and update flow</x:v>
      </x:c>
      <x:c r="C115" s="16" t="str">
        <x:v>Given the PAULUS Build health record entry and update flow task is implemented, the feature should meet the approved capstone requirements and pass review against its expected behavior.</x:v>
      </x:c>
      <x:c r="D115" s="16" t="str">
        <x:v>ClickUp task evidence, implementation output, QA notes, screenshots, tests, or manuscript updates for Build health record entry and update flow.</x:v>
      </x:c>
      <x:c r="E115" s="18" t="n">
        <x:v>0.0013611111111111111</x:v>
      </x:c>
      <x:c r="F115" s="16" t="str">
        <x:v>planning/backlog</x:v>
      </x:c>
      <x:c r="G115" s="17" t="b">
        <x:v>0</x:v>
      </x:c>
      <x:c r="H115" s="16" t="str">
        <x:v>https://app.clickup.com/t/86d3904h0</x:v>
      </x:c>
    </x:row>
    <x:row r="116">
      <x:c r="A116" s="16" t="str">
        <x:v>DEV-03</x:v>
      </x:c>
      <x:c r="B116" s="16" t="str">
        <x:v>Connect priest health tracker to backend API</x:v>
      </x:c>
      <x:c r="C116" s="16" t="str">
        <x:v>Given the PAULUS Connect priest health tracker to backend API task is implemented, the feature should meet the approved capstone requirements and pass review against its expected behavior.</x:v>
      </x:c>
      <x:c r="D116" s="16" t="str">
        <x:v>ClickUp task evidence, implementation output, QA notes, screenshots, tests, or manuscript updates for Connect priest health tracker to backend API.</x:v>
      </x:c>
      <x:c r="E116" s="18" t="n">
        <x:v>0.0013611111111111111</x:v>
      </x:c>
      <x:c r="F116" s="16" t="str">
        <x:v>planning/backlog</x:v>
      </x:c>
      <x:c r="G116" s="17" t="b">
        <x:v>0</x:v>
      </x:c>
      <x:c r="H116" s="16" t="str">
        <x:v>https://app.clickup.com/t/86d3904hb</x:v>
      </x:c>
    </x:row>
    <x:row r="117">
      <x:c r="A117" s="16" t="str">
        <x:v>TEST-01</x:v>
      </x:c>
      <x:c r="B117" s="16" t="str">
        <x:v>Test priest health tracker workflows</x:v>
      </x:c>
      <x:c r="C117" s="16" t="str">
        <x:v>Given the PAULUS Test priest health tracker workflows task is implemented, the feature should meet the approved capstone requirements and pass review against its expected behavior.</x:v>
      </x:c>
      <x:c r="D117" s="16" t="str">
        <x:v>ClickUp task evidence, implementation output, QA notes, screenshots, tests, or manuscript updates for Test priest health tracker workflows.</x:v>
      </x:c>
      <x:c r="E117" s="18" t="n">
        <x:v>0.0013611111111111111</x:v>
      </x:c>
      <x:c r="F117" s="16" t="str">
        <x:v>planning/backlog</x:v>
      </x:c>
      <x:c r="G117" s="17" t="b">
        <x:v>0</x:v>
      </x:c>
      <x:c r="H117" s="16" t="str">
        <x:v>https://app.clickup.com/t/86d3904j9</x:v>
      </x:c>
    </x:row>
    <x:row r="118">
      <x:c r="A118" s="16" t="str">
        <x:v>FIX-01</x:v>
      </x:c>
      <x:c r="B118" s="16" t="str">
        <x:v>Resolve priest health tracker issues</x:v>
      </x:c>
      <x:c r="C118" s="16" t="str">
        <x:v>Given the PAULUS Resolve priest health tracker issues task is implemented, the feature should meet the approved capstone requirements and pass review against its expected behavior.</x:v>
      </x:c>
      <x:c r="D118" s="16" t="str">
        <x:v>ClickUp task evidence, implementation output, QA notes, screenshots, tests, or manuscript updates for Resolve priest health tracker issues.</x:v>
      </x:c>
      <x:c r="E118" s="18" t="n">
        <x:v>0.0013611111111111111</x:v>
      </x:c>
      <x:c r="F118" s="16" t="str">
        <x:v>planning/backlog</x:v>
      </x:c>
      <x:c r="G118" s="17" t="b">
        <x:v>0</x:v>
      </x:c>
      <x:c r="H118" s="16" t="str">
        <x:v>https://app.clickup.com/t/86d3904k4</x:v>
      </x:c>
    </x:row>
    <x:row r="119">
      <x:c r="A119" s="16" t="str">
        <x:v>UAT-01</x:v>
      </x:c>
      <x:c r="B119" s="16" t="str">
        <x:v>Validate priest health tracker with target users</x:v>
      </x:c>
      <x:c r="C119" s="16" t="str">
        <x:v>Given the PAULUS Validate priest health tracker with target users task is implemented, the feature should meet the approved capstone requirements and pass review against its expected behavior.</x:v>
      </x:c>
      <x:c r="D119" s="16" t="str">
        <x:v>ClickUp task evidence, implementation output, QA notes, screenshots, tests, or manuscript updates for Validate priest health tracker with target users.</x:v>
      </x:c>
      <x:c r="E119" s="18" t="n">
        <x:v>0.0013611111111111111</x:v>
      </x:c>
      <x:c r="F119" s="16" t="str">
        <x:v>planning/backlog</x:v>
      </x:c>
      <x:c r="G119" s="17" t="b">
        <x:v>0</x:v>
      </x:c>
      <x:c r="H119" s="16" t="str">
        <x:v>https://app.clickup.com/t/86d3904my</x:v>
      </x:c>
    </x:row>
    <x:row r="120">
      <x:c r="A120" s="16" t="str">
        <x:v>MS-01</x:v>
      </x:c>
      <x:c r="B120" s="16" t="str">
        <x:v>Document priest health tracker in Chapter 4</x:v>
      </x:c>
      <x:c r="C120" s="16" t="str">
        <x:v>Given the PAULUS Document priest health tracker in Chapter 4 task is implemented, the feature should meet the approved capstone requirements and pass review against its expected behavior.</x:v>
      </x:c>
      <x:c r="D120" s="16" t="str">
        <x:v>ClickUp task evidence, implementation output, QA notes, screenshots, tests, or manuscript updates for Document priest health tracker in Chapter 4.</x:v>
      </x:c>
      <x:c r="E120" s="18" t="n">
        <x:v>0.0013611111111111111</x:v>
      </x:c>
      <x:c r="F120" s="16" t="str">
        <x:v>planning/backlog</x:v>
      </x:c>
      <x:c r="G120" s="17" t="b">
        <x:v>0</x:v>
      </x:c>
      <x:c r="H120" s="16" t="str">
        <x:v>https://app.clickup.com/t/86d3904p9</x:v>
      </x:c>
    </x:row>
    <x:row r="121">
      <x:c r="A121" s="26" t="str">
        <x:v>Total Accomplished</x:v>
      </x:c>
      <x:c r="B121" s="26" t="str"/>
      <x:c r="C121" s="26" t="str"/>
      <x:c r="D121" s="26" t="str"/>
      <x:c r="E121" s="27" t="n">
        <x:f>SUM(E112:E120)</x:f>
        <x:v>0.012250000000000002</x:v>
      </x:c>
      <x:c r="F121" s="27" t="str"/>
      <x:c r="G121" s="27" t="n">
        <x:f>SUMIF(G112:G120, TRUE, E112:E120)</x:f>
        <x:v>0</x:v>
      </x:c>
      <x:c r="H121" s="26" t="str"/>
    </x:row>
    <x:row r="123">
      <x:c r="A123" s="4" t="str">
        <x:v>Task ID</x:v>
      </x:c>
      <x:c r="B123" s="4" t="str">
        <x:v>PROJ</x:v>
      </x:c>
      <x:c r="C123" s="4" t="str">
        <x:v>Task Name</x:v>
      </x:c>
      <x:c r="D123" s="4" t="str">
        <x:v>Projects and Donations Interface</x:v>
      </x:c>
      <x:c r="E123" s="4" t="str"/>
      <x:c r="F123" s="4" t="str">
        <x:v>for qa / internal testing</x:v>
      </x:c>
      <x:c r="G123" s="4" t="str"/>
      <x:c r="H123" s="4" t="str">
        <x:v>https://app.clickup.com/t/86d38tgb5</x:v>
      </x:c>
    </x:row>
    <x:row r="124">
      <x:c r="A124" s="8" t="str">
        <x:v>Subtask ID</x:v>
      </x:c>
      <x:c r="B124" s="8" t="str">
        <x:v>Subtask / Task Name</x:v>
      </x:c>
      <x:c r="C124" s="8" t="str">
        <x:v>Acceptance Criteria</x:v>
      </x:c>
      <x:c r="D124" s="8" t="str">
        <x:v>Evidence / Deliverable</x:v>
      </x:c>
      <x:c r="E124" s="8" t="str">
        <x:v>Weight Allocation</x:v>
      </x:c>
      <x:c r="F124" s="8" t="str">
        <x:v>ClickUp Status</x:v>
      </x:c>
      <x:c r="G124" s="8" t="str">
        <x:v>Accepted</x:v>
      </x:c>
      <x:c r="H124" s="8" t="str">
        <x:v>ClickUp URL</x:v>
      </x:c>
    </x:row>
    <x:row r="125">
      <x:c r="A125" s="16" t="str">
        <x:v>REQ-01</x:v>
      </x:c>
      <x:c r="B125" s="16" t="str">
        <x:v>Define projects and donations page requirements</x:v>
      </x:c>
      <x:c r="C125" s="16" t="str">
        <x:v>Given the PAULUS Define projects and donations page requirements task is implemented, the feature should meet the approved capstone requirements and pass review against its expected behavior.</x:v>
      </x:c>
      <x:c r="D125" s="16" t="str">
        <x:v>ClickUp task evidence, implementation output, QA notes, screenshots, tests, or manuscript updates for Define projects and donations page requirements.</x:v>
      </x:c>
      <x:c r="E125" s="18" t="n">
        <x:v>0.00175</x:v>
      </x:c>
      <x:c r="F125" s="16" t="str">
        <x:v>standardized subtask - URL pending</x:v>
      </x:c>
      <x:c r="G125" s="17" t="b">
        <x:v>0</x:v>
      </x:c>
      <x:c r="H125" s="16" t="str"/>
    </x:row>
    <x:row r="126">
      <x:c r="A126" s="16" t="str">
        <x:v>DES-01</x:v>
      </x:c>
      <x:c r="B126" s="16" t="str">
        <x:v>Design projects and donations interface workflow</x:v>
      </x:c>
      <x:c r="C126" s="16" t="str">
        <x:v>Given the PAULUS Design projects and donations interface workflow task is implemented, the feature should meet the approved capstone requirements and pass review against its expected behavior.</x:v>
      </x:c>
      <x:c r="D126" s="16" t="str">
        <x:v>ClickUp task evidence, implementation output, QA notes, screenshots, tests, or manuscript updates for Design projects and donations interface workflow.</x:v>
      </x:c>
      <x:c r="E126" s="18" t="n">
        <x:v>0.00175</x:v>
      </x:c>
      <x:c r="F126" s="16" t="str">
        <x:v>standardized subtask - URL pending</x:v>
      </x:c>
      <x:c r="G126" s="17" t="b">
        <x:v>0</x:v>
      </x:c>
      <x:c r="H126" s="16" t="str"/>
    </x:row>
    <x:row r="127">
      <x:c r="A127" s="16" t="str">
        <x:v>DEV-01</x:v>
      </x:c>
      <x:c r="B127" s="16" t="str">
        <x:v>Build projects and donations page interface</x:v>
      </x:c>
      <x:c r="C127" s="16" t="str">
        <x:v>Given the PAULUS Build projects and donations page interface task is implemented, the feature should meet the approved capstone requirements and pass review against its expected behavior.</x:v>
      </x:c>
      <x:c r="D127" s="16" t="str">
        <x:v>ClickUp task evidence, implementation output, QA notes, screenshots, tests, or manuscript updates for Build projects and donations page interface.</x:v>
      </x:c>
      <x:c r="E127" s="18" t="n">
        <x:v>0.00175</x:v>
      </x:c>
      <x:c r="F127" s="16" t="str">
        <x:v>standardized subtask - URL pending</x:v>
      </x:c>
      <x:c r="G127" s="17" t="b">
        <x:v>0</x:v>
      </x:c>
      <x:c r="H127" s="16" t="str"/>
    </x:row>
    <x:row r="128">
      <x:c r="A128" s="16" t="str">
        <x:v>TEST-01</x:v>
      </x:c>
      <x:c r="B128" s="16" t="str">
        <x:v>Test project listing, detail, donation display, and validation behavior</x:v>
      </x:c>
      <x:c r="C128" s="16" t="str">
        <x:v>Given the PAULUS Test project listing, detail, donation display, and validation behavior task is implemented, the feature should meet the approved capstone requirements and pass review against its expected behavior.</x:v>
      </x:c>
      <x:c r="D128" s="16" t="str">
        <x:v>ClickUp task evidence, implementation output, QA notes, screenshots, tests, or manuscript updates for Test project listing, detail, donation display, and validation behavior.</x:v>
      </x:c>
      <x:c r="E128" s="18" t="n">
        <x:v>0.00175</x:v>
      </x:c>
      <x:c r="F128" s="16" t="str">
        <x:v>standardized subtask - URL pending</x:v>
      </x:c>
      <x:c r="G128" s="17" t="b">
        <x:v>0</x:v>
      </x:c>
      <x:c r="H128" s="16" t="str"/>
    </x:row>
    <x:row r="129">
      <x:c r="A129" s="16" t="str">
        <x:v>FIX-01</x:v>
      </x:c>
      <x:c r="B129" s="16" t="str">
        <x:v>Resolve projects and donations page issues</x:v>
      </x:c>
      <x:c r="C129" s="16" t="str">
        <x:v>Given the PAULUS Resolve projects and donations page issues task is implemented, the feature should meet the approved capstone requirements and pass review against its expected behavior.</x:v>
      </x:c>
      <x:c r="D129" s="16" t="str">
        <x:v>ClickUp task evidence, implementation output, QA notes, screenshots, tests, or manuscript updates for Resolve projects and donations page issues.</x:v>
      </x:c>
      <x:c r="E129" s="18" t="n">
        <x:v>0.00175</x:v>
      </x:c>
      <x:c r="F129" s="16" t="str">
        <x:v>standardized subtask - URL pending</x:v>
      </x:c>
      <x:c r="G129" s="17" t="b">
        <x:v>0</x:v>
      </x:c>
      <x:c r="H129" s="16" t="str"/>
    </x:row>
    <x:row r="130">
      <x:c r="A130" s="16" t="str">
        <x:v>UAT-01</x:v>
      </x:c>
      <x:c r="B130" s="16" t="str">
        <x:v>Validate projects and donations page with target users</x:v>
      </x:c>
      <x:c r="C130" s="16" t="str">
        <x:v>Given the PAULUS Validate projects and donations page with target users task is implemented, the feature should meet the approved capstone requirements and pass review against its expected behavior.</x:v>
      </x:c>
      <x:c r="D130" s="16" t="str">
        <x:v>ClickUp task evidence, implementation output, QA notes, screenshots, tests, or manuscript updates for Validate projects and donations page with target users.</x:v>
      </x:c>
      <x:c r="E130" s="18" t="n">
        <x:v>0.00175</x:v>
      </x:c>
      <x:c r="F130" s="16" t="str">
        <x:v>standardized subtask - URL pending</x:v>
      </x:c>
      <x:c r="G130" s="17" t="b">
        <x:v>0</x:v>
      </x:c>
      <x:c r="H130" s="16" t="str"/>
    </x:row>
    <x:row r="131">
      <x:c r="A131" s="16" t="str">
        <x:v>MS-01</x:v>
      </x:c>
      <x:c r="B131" s="16" t="str">
        <x:v>Document projects and donations module in Chapter 4</x:v>
      </x:c>
      <x:c r="C131" s="16" t="str">
        <x:v>Given the PAULUS Document projects and donations module in Chapter 4 task is implemented, the feature should meet the approved capstone requirements and pass review against its expected behavior.</x:v>
      </x:c>
      <x:c r="D131" s="16" t="str">
        <x:v>ClickUp task evidence, implementation output, QA notes, screenshots, tests, or manuscript updates for Document projects and donations module in Chapter 4.</x:v>
      </x:c>
      <x:c r="E131" s="18" t="n">
        <x:v>0.00175</x:v>
      </x:c>
      <x:c r="F131" s="16" t="str">
        <x:v>standardized subtask - URL pending</x:v>
      </x:c>
      <x:c r="G131" s="17" t="b">
        <x:v>0</x:v>
      </x:c>
      <x:c r="H131" s="16" t="str"/>
    </x:row>
    <x:row r="132">
      <x:c r="A132" s="26" t="str">
        <x:v>Total Accomplished</x:v>
      </x:c>
      <x:c r="B132" s="26" t="str"/>
      <x:c r="C132" s="26" t="str"/>
      <x:c r="D132" s="26" t="str"/>
      <x:c r="E132" s="27" t="n">
        <x:f>SUM(E125:E131)</x:f>
        <x:v>0.01225</x:v>
      </x:c>
      <x:c r="F132" s="27" t="str"/>
      <x:c r="G132" s="27" t="n">
        <x:f>SUMIF(G125:G131, TRUE, E125:E131)</x:f>
        <x:v>0</x:v>
      </x:c>
      <x:c r="H132" s="26" t="str"/>
    </x:row>
    <x:row r="134">
      <x:c r="A134" s="4" t="str">
        <x:v>Task ID</x:v>
      </x:c>
      <x:c r="B134" s="4" t="str">
        <x:v>CHAT</x:v>
      </x:c>
      <x:c r="C134" s="4" t="str">
        <x:v>Task Name</x:v>
      </x:c>
      <x:c r="D134" s="4" t="str">
        <x:v>AI Chatbot Interface</x:v>
      </x:c>
      <x:c r="E134" s="4" t="str"/>
      <x:c r="F134" s="4" t="str">
        <x:v>for qa / internal testing</x:v>
      </x:c>
      <x:c r="G134" s="4" t="str"/>
      <x:c r="H134" s="4" t="str">
        <x:v>https://app.clickup.com/t/86d38tgkb</x:v>
      </x:c>
    </x:row>
    <x:row r="135">
      <x:c r="A135" s="8" t="str">
        <x:v>Subtask ID</x:v>
      </x:c>
      <x:c r="B135" s="8" t="str">
        <x:v>Subtask / Task Name</x:v>
      </x:c>
      <x:c r="C135" s="8" t="str">
        <x:v>Acceptance Criteria</x:v>
      </x:c>
      <x:c r="D135" s="8" t="str">
        <x:v>Evidence / Deliverable</x:v>
      </x:c>
      <x:c r="E135" s="8" t="str">
        <x:v>Weight Allocation</x:v>
      </x:c>
      <x:c r="F135" s="8" t="str">
        <x:v>ClickUp Status</x:v>
      </x:c>
      <x:c r="G135" s="8" t="str">
        <x:v>Accepted</x:v>
      </x:c>
      <x:c r="H135" s="8" t="str">
        <x:v>ClickUp URL</x:v>
      </x:c>
    </x:row>
    <x:row r="136">
      <x:c r="A136" s="16" t="str">
        <x:v>REQ-01</x:v>
      </x:c>
      <x:c r="B136" s="16" t="str">
        <x:v>Define AI chatbot interface requirements</x:v>
      </x:c>
      <x:c r="C136" s="16" t="str">
        <x:v>Given the PAULUS Define AI chatbot interface requirements task is implemented, the feature should meet the approved capstone requirements and pass review against its expected behavior.</x:v>
      </x:c>
      <x:c r="D136" s="16" t="str">
        <x:v>ClickUp task evidence, implementation output, QA notes, screenshots, tests, or manuscript updates for Define AI chatbot interface requirements.</x:v>
      </x:c>
      <x:c r="E136" s="18" t="n">
        <x:v>0.0013611111111111111</x:v>
      </x:c>
      <x:c r="F136" s="16" t="str">
        <x:v>planning/backlog</x:v>
      </x:c>
      <x:c r="G136" s="17" t="b">
        <x:v>0</x:v>
      </x:c>
      <x:c r="H136" s="16" t="str">
        <x:v>https://app.clickup.com/t/86d3904z7</x:v>
      </x:c>
    </x:row>
    <x:row r="137">
      <x:c r="A137" s="16" t="str">
        <x:v>DES-01</x:v>
      </x:c>
      <x:c r="B137" s="16" t="str">
        <x:v>Design chatbot widget and conversation layout</x:v>
      </x:c>
      <x:c r="C137" s="16" t="str">
        <x:v>Given the PAULUS Design chatbot widget and conversation layout task is implemented, the feature should meet the approved capstone requirements and pass review against its expected behavior.</x:v>
      </x:c>
      <x:c r="D137" s="16" t="str">
        <x:v>ClickUp task evidence, implementation output, QA notes, screenshots, tests, or manuscript updates for Design chatbot widget and conversation layout.</x:v>
      </x:c>
      <x:c r="E137" s="18" t="n">
        <x:v>0.0013611111111111111</x:v>
      </x:c>
      <x:c r="F137" s="16" t="str">
        <x:v>planning/backlog</x:v>
      </x:c>
      <x:c r="G137" s="17" t="b">
        <x:v>0</x:v>
      </x:c>
      <x:c r="H137" s="16" t="str">
        <x:v>https://app.clickup.com/t/86d390507</x:v>
      </x:c>
    </x:row>
    <x:row r="138">
      <x:c r="A138" s="16" t="str">
        <x:v>DEV-01</x:v>
      </x:c>
      <x:c r="B138" s="16" t="str">
        <x:v>Build chatbot UI component</x:v>
      </x:c>
      <x:c r="C138" s="16" t="str">
        <x:v>Given the PAULUS Build chatbot UI component task is implemented, the feature should meet the approved capstone requirements and pass review against its expected behavior.</x:v>
      </x:c>
      <x:c r="D138" s="16" t="str">
        <x:v>ClickUp task evidence, implementation output, QA notes, screenshots, tests, or manuscript updates for Build chatbot UI component.</x:v>
      </x:c>
      <x:c r="E138" s="18" t="n">
        <x:v>0.0013611111111111111</x:v>
      </x:c>
      <x:c r="F138" s="16" t="str">
        <x:v>planning/backlog</x:v>
      </x:c>
      <x:c r="G138" s="17" t="b">
        <x:v>0</x:v>
      </x:c>
      <x:c r="H138" s="16" t="str">
        <x:v>https://app.clickup.com/t/86d39050y</x:v>
      </x:c>
    </x:row>
    <x:row r="139">
      <x:c r="A139" s="16" t="str">
        <x:v>DEV-02</x:v>
      </x:c>
      <x:c r="B139" s="16" t="str">
        <x:v>Connect chatbot to AI response API</x:v>
      </x:c>
      <x:c r="C139" s="16" t="str">
        <x:v>Given the PAULUS Connect chatbot to AI response API task is implemented, the feature should meet the approved capstone requirements and pass review against its expected behavior.</x:v>
      </x:c>
      <x:c r="D139" s="16" t="str">
        <x:v>ClickUp task evidence, implementation output, QA notes, screenshots, tests, or manuscript updates for Connect chatbot to AI response API.</x:v>
      </x:c>
      <x:c r="E139" s="18" t="n">
        <x:v>0.0013611111111111111</x:v>
      </x:c>
      <x:c r="F139" s="16" t="str">
        <x:v>planning/backlog</x:v>
      </x:c>
      <x:c r="G139" s="17" t="b">
        <x:v>0</x:v>
      </x:c>
      <x:c r="H139" s="16" t="str">
        <x:v>https://app.clickup.com/t/86d390520</x:v>
      </x:c>
    </x:row>
    <x:row r="140">
      <x:c r="A140" s="16" t="str">
        <x:v>DEV-03</x:v>
      </x:c>
      <x:c r="B140" s="16" t="str">
        <x:v>Add financial context and health score integration</x:v>
      </x:c>
      <x:c r="C140" s="16" t="str">
        <x:v>Given the PAULUS Add financial context and health score integration task is implemented, the feature should meet the approved capstone requirements and pass review against its expected behavior.</x:v>
      </x:c>
      <x:c r="D140" s="16" t="str">
        <x:v>ClickUp task evidence, implementation output, QA notes, screenshots, tests, or manuscript updates for Add financial context and health score integration.</x:v>
      </x:c>
      <x:c r="E140" s="18" t="n">
        <x:v>0.0013611111111111111</x:v>
      </x:c>
      <x:c r="F140" s="16" t="str">
        <x:v>planning/backlog</x:v>
      </x:c>
      <x:c r="G140" s="17" t="b">
        <x:v>0</x:v>
      </x:c>
      <x:c r="H140" s="16" t="str">
        <x:v>https://app.clickup.com/t/86d390533</x:v>
      </x:c>
    </x:row>
    <x:row r="141">
      <x:c r="A141" s="16" t="str">
        <x:v>TEST-01</x:v>
      </x:c>
      <x:c r="B141" s="16" t="str">
        <x:v>Test chatbot responses and financial context accuracy</x:v>
      </x:c>
      <x:c r="C141" s="16" t="str">
        <x:v>Given the PAULUS Test chatbot responses and financial context accuracy task is implemented, the feature should meet the approved capstone requirements and pass review against its expected behavior.</x:v>
      </x:c>
      <x:c r="D141" s="16" t="str">
        <x:v>ClickUp task evidence, implementation output, QA notes, screenshots, tests, or manuscript updates for Test chatbot responses and financial context accuracy.</x:v>
      </x:c>
      <x:c r="E141" s="18" t="n">
        <x:v>0.0013611111111111111</x:v>
      </x:c>
      <x:c r="F141" s="16" t="str">
        <x:v>planning/backlog</x:v>
      </x:c>
      <x:c r="G141" s="17" t="b">
        <x:v>0</x:v>
      </x:c>
      <x:c r="H141" s="16" t="str">
        <x:v>https://app.clickup.com/t/86d39053w</x:v>
      </x:c>
    </x:row>
    <x:row r="142">
      <x:c r="A142" s="16" t="str">
        <x:v>FIX-01</x:v>
      </x:c>
      <x:c r="B142" s="16" t="str">
        <x:v>Resolve chatbot interface and response issues</x:v>
      </x:c>
      <x:c r="C142" s="16" t="str">
        <x:v>Given the PAULUS Resolve chatbot interface and response issues task is implemented, the feature should meet the approved capstone requirements and pass review against its expected behavior.</x:v>
      </x:c>
      <x:c r="D142" s="16" t="str">
        <x:v>ClickUp task evidence, implementation output, QA notes, screenshots, tests, or manuscript updates for Resolve chatbot interface and response issues.</x:v>
      </x:c>
      <x:c r="E142" s="18" t="n">
        <x:v>0.0013611111111111111</x:v>
      </x:c>
      <x:c r="F142" s="16" t="str">
        <x:v>planning/backlog</x:v>
      </x:c>
      <x:c r="G142" s="17" t="b">
        <x:v>0</x:v>
      </x:c>
      <x:c r="H142" s="16" t="str">
        <x:v>https://app.clickup.com/t/86d39054y</x:v>
      </x:c>
    </x:row>
    <x:row r="143">
      <x:c r="A143" s="16" t="str">
        <x:v>UAT-01</x:v>
      </x:c>
      <x:c r="B143" s="16" t="str">
        <x:v>Validate chatbot usefulness with target users</x:v>
      </x:c>
      <x:c r="C143" s="16" t="str">
        <x:v>Given the PAULUS Validate chatbot usefulness with target users task is implemented, the feature should meet the approved capstone requirements and pass review against its expected behavior.</x:v>
      </x:c>
      <x:c r="D143" s="16" t="str">
        <x:v>ClickUp task evidence, implementation output, QA notes, screenshots, tests, or manuscript updates for Validate chatbot usefulness with target users.</x:v>
      </x:c>
      <x:c r="E143" s="18" t="n">
        <x:v>0.0013611111111111111</x:v>
      </x:c>
      <x:c r="F143" s="16" t="str">
        <x:v>planning/backlog</x:v>
      </x:c>
      <x:c r="G143" s="17" t="b">
        <x:v>0</x:v>
      </x:c>
      <x:c r="H143" s="16" t="str">
        <x:v>https://app.clickup.com/t/86d39056p</x:v>
      </x:c>
    </x:row>
    <x:row r="144">
      <x:c r="A144" s="16" t="str">
        <x:v>MS-01</x:v>
      </x:c>
      <x:c r="B144" s="16" t="str">
        <x:v>Document AI chatbot interface in Chapter 4</x:v>
      </x:c>
      <x:c r="C144" s="16" t="str">
        <x:v>Given the PAULUS Document AI chatbot interface in Chapter 4 task is implemented, the feature should meet the approved capstone requirements and pass review against its expected behavior.</x:v>
      </x:c>
      <x:c r="D144" s="16" t="str">
        <x:v>ClickUp task evidence, implementation output, QA notes, screenshots, tests, or manuscript updates for Document AI chatbot interface in Chapter 4.</x:v>
      </x:c>
      <x:c r="E144" s="18" t="n">
        <x:v>0.0013611111111111111</x:v>
      </x:c>
      <x:c r="F144" s="16" t="str">
        <x:v>planning/backlog</x:v>
      </x:c>
      <x:c r="G144" s="17" t="b">
        <x:v>0</x:v>
      </x:c>
      <x:c r="H144" s="16" t="str">
        <x:v>https://app.clickup.com/t/86d39057y</x:v>
      </x:c>
    </x:row>
    <x:row r="145">
      <x:c r="A145" s="26" t="str">
        <x:v>Total Accomplished</x:v>
      </x:c>
      <x:c r="B145" s="26" t="str"/>
      <x:c r="C145" s="26" t="str"/>
      <x:c r="D145" s="26" t="str"/>
      <x:c r="E145" s="27" t="n">
        <x:f>SUM(E136:E144)</x:f>
        <x:v>0.012250000000000002</x:v>
      </x:c>
      <x:c r="F145" s="27" t="str"/>
      <x:c r="G145" s="27" t="n">
        <x:f>SUMIF(G136:G144, TRUE, E136:E144)</x:f>
        <x:v>0</x:v>
      </x:c>
      <x:c r="H145" s="26" t="str"/>
    </x:row>
    <x:row r="147">
      <x:c r="A147" s="4" t="str">
        <x:v>Task ID</x:v>
      </x:c>
      <x:c r="B147" s="4" t="str">
        <x:v>ANALYTICS</x:v>
      </x:c>
      <x:c r="C147" s="4" t="str">
        <x:v>Task Name</x:v>
      </x:c>
      <x:c r="D147" s="4" t="str">
        <x:v>Analytics and Decision-Support</x:v>
      </x:c>
      <x:c r="E147" s="4" t="str"/>
      <x:c r="F147" s="4" t="str">
        <x:v>for qa / internal testing</x:v>
      </x:c>
      <x:c r="G147" s="4" t="str"/>
      <x:c r="H147" s="4" t="str">
        <x:v>https://app.clickup.com/t/86d38tgbx</x:v>
      </x:c>
    </x:row>
    <x:row r="148">
      <x:c r="A148" s="8" t="str">
        <x:v>Subtask ID</x:v>
      </x:c>
      <x:c r="B148" s="8" t="str">
        <x:v>Subtask / Task Name</x:v>
      </x:c>
      <x:c r="C148" s="8" t="str">
        <x:v>Acceptance Criteria</x:v>
      </x:c>
      <x:c r="D148" s="8" t="str">
        <x:v>Evidence / Deliverable</x:v>
      </x:c>
      <x:c r="E148" s="8" t="str">
        <x:v>Weight Allocation</x:v>
      </x:c>
      <x:c r="F148" s="8" t="str">
        <x:v>ClickUp Status</x:v>
      </x:c>
      <x:c r="G148" s="8" t="str">
        <x:v>Accepted</x:v>
      </x:c>
      <x:c r="H148" s="8" t="str">
        <x:v>ClickUp URL</x:v>
      </x:c>
    </x:row>
    <x:row r="149">
      <x:c r="A149" s="16" t="str">
        <x:v>REQ-01</x:v>
      </x:c>
      <x:c r="B149" s="16" t="str">
        <x:v>Define analytics dashboard requirements</x:v>
      </x:c>
      <x:c r="C149" s="16" t="str">
        <x:v>Given the PAULUS Define analytics dashboard requirements task is implemented, the feature should meet the approved capstone requirements and pass review against its expected behavior.</x:v>
      </x:c>
      <x:c r="D149" s="16" t="str">
        <x:v>ClickUp task evidence, implementation output, QA notes, screenshots, tests, or manuscript updates for Define analytics dashboard requirements.</x:v>
      </x:c>
      <x:c r="E149" s="18" t="n">
        <x:v>0.0011136363636363637</x:v>
      </x:c>
      <x:c r="F149" s="16" t="str">
        <x:v>planning/backlog</x:v>
      </x:c>
      <x:c r="G149" s="17" t="b">
        <x:v>0</x:v>
      </x:c>
      <x:c r="H149" s="16" t="str">
        <x:v>https://app.clickup.com/t/86d390cmy</x:v>
      </x:c>
    </x:row>
    <x:row r="150">
      <x:c r="A150" s="16" t="str">
        <x:v>DES-01</x:v>
      </x:c>
      <x:c r="B150" s="16" t="str">
        <x:v>Design analytics dashboard wireframe</x:v>
      </x:c>
      <x:c r="C150" s="16" t="str">
        <x:v>Given the PAULUS Design analytics dashboard wireframe task is implemented, the feature should meet the approved capstone requirements and pass review against its expected behavior.</x:v>
      </x:c>
      <x:c r="D150" s="16" t="str">
        <x:v>ClickUp task evidence, implementation output, QA notes, screenshots, tests, or manuscript updates for Design analytics dashboard wireframe.</x:v>
      </x:c>
      <x:c r="E150" s="18" t="n">
        <x:v>0.0011136363636363637</x:v>
      </x:c>
      <x:c r="F150" s="16" t="str">
        <x:v>planning/backlog</x:v>
      </x:c>
      <x:c r="G150" s="17" t="b">
        <x:v>0</x:v>
      </x:c>
      <x:c r="H150" s="16" t="str">
        <x:v>https://app.clickup.com/t/86d390cpj</x:v>
      </x:c>
    </x:row>
    <x:row r="151">
      <x:c r="A151" s="16" t="str">
        <x:v>DEV-01</x:v>
      </x:c>
      <x:c r="B151" s="16" t="str">
        <x:v>Build analytics dashboard layout</x:v>
      </x:c>
      <x:c r="C151" s="16" t="str">
        <x:v>Given the PAULUS Build analytics dashboard layout task is implemented, the feature should meet the approved capstone requirements and pass review against its expected behavior.</x:v>
      </x:c>
      <x:c r="D151" s="16" t="str">
        <x:v>ClickUp task evidence, implementation output, QA notes, screenshots, tests, or manuscript updates for Build analytics dashboard layout.</x:v>
      </x:c>
      <x:c r="E151" s="18" t="n">
        <x:v>0.0011136363636363637</x:v>
      </x:c>
      <x:c r="F151" s="16" t="str">
        <x:v>planning/backlog</x:v>
      </x:c>
      <x:c r="G151" s="17" t="b">
        <x:v>0</x:v>
      </x:c>
      <x:c r="H151" s="16" t="str">
        <x:v>https://app.clickup.com/t/86d390fba</x:v>
      </x:c>
    </x:row>
    <x:row r="152">
      <x:c r="A152" s="16" t="str">
        <x:v>DEV-02</x:v>
      </x:c>
      <x:c r="B152" s="16" t="str">
        <x:v>Add financial health classification display</x:v>
      </x:c>
      <x:c r="C152" s="16" t="str">
        <x:v>Given the PAULUS Add financial health classification display task is implemented, the feature should meet the approved capstone requirements and pass review against its expected behavior.</x:v>
      </x:c>
      <x:c r="D152" s="16" t="str">
        <x:v>ClickUp task evidence, implementation output, QA notes, screenshots, tests, or manuscript updates for Add financial health classification display.</x:v>
      </x:c>
      <x:c r="E152" s="18" t="n">
        <x:v>0.0011136363636363637</x:v>
      </x:c>
      <x:c r="F152" s="16" t="str">
        <x:v>planning/backlog</x:v>
      </x:c>
      <x:c r="G152" s="17" t="b">
        <x:v>0</x:v>
      </x:c>
      <x:c r="H152" s="16" t="str">
        <x:v>https://app.clickup.com/t/86d390fcd</x:v>
      </x:c>
    </x:row>
    <x:row r="153">
      <x:c r="A153" s="16" t="str">
        <x:v>DEV-03</x:v>
      </x:c>
      <x:c r="B153" s="16" t="str">
        <x:v>Add forecasting output display</x:v>
      </x:c>
      <x:c r="C153" s="16" t="str">
        <x:v>Given the PAULUS Add forecasting output display task is implemented, the feature should meet the approved capstone requirements and pass review against its expected behavior.</x:v>
      </x:c>
      <x:c r="D153" s="16" t="str">
        <x:v>ClickUp task evidence, implementation output, QA notes, screenshots, tests, or manuscript updates for Add forecasting output display.</x:v>
      </x:c>
      <x:c r="E153" s="18" t="n">
        <x:v>0.0011136363636363637</x:v>
      </x:c>
      <x:c r="F153" s="16" t="str">
        <x:v>planning/backlog</x:v>
      </x:c>
      <x:c r="G153" s="17" t="b">
        <x:v>0</x:v>
      </x:c>
      <x:c r="H153" s="16" t="str">
        <x:v>https://app.clickup.com/t/86d390fe3</x:v>
      </x:c>
    </x:row>
    <x:row r="154">
      <x:c r="A154" s="16" t="str">
        <x:v>DEV-04</x:v>
      </x:c>
      <x:c r="B154" s="16" t="str">
        <x:v>Add recommendation output display</x:v>
      </x:c>
      <x:c r="C154" s="16" t="str">
        <x:v>Given the PAULUS Add recommendation output display task is implemented, the feature should meet the approved capstone requirements and pass review against its expected behavior.</x:v>
      </x:c>
      <x:c r="D154" s="16" t="str">
        <x:v>ClickUp task evidence, implementation output, QA notes, screenshots, tests, or manuscript updates for Add recommendation output display.</x:v>
      </x:c>
      <x:c r="E154" s="18" t="n">
        <x:v>0.0011136363636363637</x:v>
      </x:c>
      <x:c r="F154" s="16" t="str">
        <x:v>planning/backlog</x:v>
      </x:c>
      <x:c r="G154" s="17" t="b">
        <x:v>0</x:v>
      </x:c>
      <x:c r="H154" s="16" t="str">
        <x:v>https://app.clickup.com/t/86d390ffd</x:v>
      </x:c>
    </x:row>
    <x:row r="155">
      <x:c r="A155" s="16" t="str">
        <x:v>DEV-05</x:v>
      </x:c>
      <x:c r="B155" s="16" t="str">
        <x:v>Connect analytics dashboard to backend API</x:v>
      </x:c>
      <x:c r="C155" s="16" t="str">
        <x:v>Given the PAULUS Connect analytics dashboard to backend API task is implemented, the feature should meet the approved capstone requirements and pass review against its expected behavior.</x:v>
      </x:c>
      <x:c r="D155" s="16" t="str">
        <x:v>ClickUp task evidence, implementation output, QA notes, screenshots, tests, or manuscript updates for Connect analytics dashboard to backend API.</x:v>
      </x:c>
      <x:c r="E155" s="18" t="n">
        <x:v>0.0011136363636363637</x:v>
      </x:c>
      <x:c r="F155" s="16" t="str">
        <x:v>planning/backlog</x:v>
      </x:c>
      <x:c r="G155" s="17" t="b">
        <x:v>0</x:v>
      </x:c>
      <x:c r="H155" s="16" t="str">
        <x:v>https://app.clickup.com/t/86d390fhr</x:v>
      </x:c>
    </x:row>
    <x:row r="156">
      <x:c r="A156" s="16" t="str">
        <x:v>TEST-01</x:v>
      </x:c>
      <x:c r="B156" s="16" t="str">
        <x:v>Test analytics dashboard outputs</x:v>
      </x:c>
      <x:c r="C156" s="16" t="str">
        <x:v>Given the PAULUS Test analytics dashboard outputs task is implemented, the feature should meet the approved capstone requirements and pass review against its expected behavior.</x:v>
      </x:c>
      <x:c r="D156" s="16" t="str">
        <x:v>ClickUp task evidence, implementation output, QA notes, screenshots, tests, or manuscript updates for Test analytics dashboard outputs.</x:v>
      </x:c>
      <x:c r="E156" s="18" t="n">
        <x:v>0.0011136363636363637</x:v>
      </x:c>
      <x:c r="F156" s="16" t="str">
        <x:v>planning/backlog</x:v>
      </x:c>
      <x:c r="G156" s="17" t="b">
        <x:v>0</x:v>
      </x:c>
      <x:c r="H156" s="16" t="str">
        <x:v>https://app.clickup.com/t/86d390fkp</x:v>
      </x:c>
    </x:row>
    <x:row r="157">
      <x:c r="A157" s="16" t="str">
        <x:v>FIX-01</x:v>
      </x:c>
      <x:c r="B157" s="16" t="str">
        <x:v>Resolve analytics display and data issues</x:v>
      </x:c>
      <x:c r="C157" s="16" t="str">
        <x:v>Given the PAULUS Resolve analytics display and data issues task is implemented, the feature should meet the approved capstone requirements and pass review against its expected behavior.</x:v>
      </x:c>
      <x:c r="D157" s="16" t="str">
        <x:v>ClickUp task evidence, implementation output, QA notes, screenshots, tests, or manuscript updates for Resolve analytics display and data issues.</x:v>
      </x:c>
      <x:c r="E157" s="18" t="n">
        <x:v>0.0011136363636363637</x:v>
      </x:c>
      <x:c r="F157" s="16" t="str">
        <x:v>planning/backlog</x:v>
      </x:c>
      <x:c r="G157" s="17" t="b">
        <x:v>0</x:v>
      </x:c>
      <x:c r="H157" s="16" t="str">
        <x:v>https://app.clickup.com/t/86d390fqf</x:v>
      </x:c>
    </x:row>
    <x:row r="158">
      <x:c r="A158" s="16" t="str">
        <x:v>UAT-01</x:v>
      </x:c>
      <x:c r="B158" s="16" t="str">
        <x:v>Validate analytics dashboard with target users</x:v>
      </x:c>
      <x:c r="C158" s="16" t="str">
        <x:v>Given the PAULUS Validate analytics dashboard with target users task is implemented, the feature should meet the approved capstone requirements and pass review against its expected behavior.</x:v>
      </x:c>
      <x:c r="D158" s="16" t="str">
        <x:v>ClickUp task evidence, implementation output, QA notes, screenshots, tests, or manuscript updates for Validate analytics dashboard with target users.</x:v>
      </x:c>
      <x:c r="E158" s="18" t="n">
        <x:v>0.0011136363636363637</x:v>
      </x:c>
      <x:c r="F158" s="16" t="str">
        <x:v>planning/backlog</x:v>
      </x:c>
      <x:c r="G158" s="17" t="b">
        <x:v>0</x:v>
      </x:c>
      <x:c r="H158" s="16" t="str">
        <x:v>https://app.clickup.com/t/86d390fyb</x:v>
      </x:c>
    </x:row>
    <x:row r="159">
      <x:c r="A159" s="16" t="str">
        <x:v>MS-01</x:v>
      </x:c>
      <x:c r="B159" s="16" t="str">
        <x:v>Document analytics dashboard in Chapter 4</x:v>
      </x:c>
      <x:c r="C159" s="16" t="str">
        <x:v>Given the PAULUS Document analytics dashboard in Chapter 4 task is implemented, the feature should meet the approved capstone requirements and pass review against its expected behavior.</x:v>
      </x:c>
      <x:c r="D159" s="16" t="str">
        <x:v>ClickUp task evidence, implementation output, QA notes, screenshots, tests, or manuscript updates for Document analytics dashboard in Chapter 4.</x:v>
      </x:c>
      <x:c r="E159" s="18" t="n">
        <x:v>0.0011136363636363637</x:v>
      </x:c>
      <x:c r="F159" s="16" t="str">
        <x:v>planning/backlog</x:v>
      </x:c>
      <x:c r="G159" s="17" t="b">
        <x:v>0</x:v>
      </x:c>
      <x:c r="H159" s="16" t="str">
        <x:v>https://app.clickup.com/t/86d390g08</x:v>
      </x:c>
    </x:row>
    <x:row r="160">
      <x:c r="A160" s="26" t="str">
        <x:v>Total Accomplished</x:v>
      </x:c>
      <x:c r="B160" s="26" t="str"/>
      <x:c r="C160" s="26" t="str"/>
      <x:c r="D160" s="26" t="str"/>
      <x:c r="E160" s="27" t="n">
        <x:f>SUM(E149:E159)</x:f>
        <x:v>0.01225</x:v>
      </x:c>
      <x:c r="F160" s="27" t="str"/>
      <x:c r="G160" s="27" t="n">
        <x:f>SUMIF(G149:G159, TRUE, E149:E159)</x:f>
        <x:v>0</x:v>
      </x:c>
      <x:c r="H160" s="26" t="str"/>
    </x:row>
    <x:row r="162">
      <x:c r="A162" s="4" t="str">
        <x:v>Task ID</x:v>
      </x:c>
      <x:c r="B162" s="4" t="str">
        <x:v>FS</x:v>
      </x:c>
      <x:c r="C162" s="4" t="str">
        <x:v>Task Name</x:v>
      </x:c>
      <x:c r="D162" s="4" t="str">
        <x:v>Financial Statement Upload Interface</x:v>
      </x:c>
      <x:c r="E162" s="4" t="str"/>
      <x:c r="F162" s="4" t="str">
        <x:v>for qa / internal testing</x:v>
      </x:c>
      <x:c r="G162" s="4" t="str"/>
      <x:c r="H162" s="4" t="str">
        <x:v>https://app.clickup.com/t/86d38tgaq</x:v>
      </x:c>
    </x:row>
    <x:row r="163">
      <x:c r="A163" s="8" t="str">
        <x:v>Subtask ID</x:v>
      </x:c>
      <x:c r="B163" s="8" t="str">
        <x:v>Subtask / Task Name</x:v>
      </x:c>
      <x:c r="C163" s="8" t="str">
        <x:v>Acceptance Criteria</x:v>
      </x:c>
      <x:c r="D163" s="8" t="str">
        <x:v>Evidence / Deliverable</x:v>
      </x:c>
      <x:c r="E163" s="8" t="str">
        <x:v>Weight Allocation</x:v>
      </x:c>
      <x:c r="F163" s="8" t="str">
        <x:v>ClickUp Status</x:v>
      </x:c>
      <x:c r="G163" s="8" t="str">
        <x:v>Accepted</x:v>
      </x:c>
      <x:c r="H163" s="8" t="str">
        <x:v>ClickUp URL</x:v>
      </x:c>
    </x:row>
    <x:row r="164">
      <x:c r="A164" s="16" t="str">
        <x:v>REQ-01</x:v>
      </x:c>
      <x:c r="B164" s="16" t="str">
        <x:v>Define financial statement upload requirements</x:v>
      </x:c>
      <x:c r="C164" s="16" t="str">
        <x:v>Given the PAULUS Define financial statement upload requirements task is implemented, the feature should meet the approved capstone requirements and pass review against its expected behavior.</x:v>
      </x:c>
      <x:c r="D164" s="16" t="str">
        <x:v>ClickUp task evidence, implementation output, QA notes, screenshots, tests, or manuscript updates for Define financial statement upload requirements.</x:v>
      </x:c>
      <x:c r="E164" s="18" t="n">
        <x:v>0.0013611111111111111</x:v>
      </x:c>
      <x:c r="F164" s="16" t="str">
        <x:v>planning/backlog</x:v>
      </x:c>
      <x:c r="G164" s="17" t="b">
        <x:v>0</x:v>
      </x:c>
      <x:c r="H164" s="16" t="str">
        <x:v>https://app.clickup.com/t/86d390j60</x:v>
      </x:c>
    </x:row>
    <x:row r="165">
      <x:c r="A165" s="16" t="str">
        <x:v>DES-01</x:v>
      </x:c>
      <x:c r="B165" s="16" t="str">
        <x:v>Design financial statement upload interface</x:v>
      </x:c>
      <x:c r="C165" s="16" t="str">
        <x:v>Given the PAULUS Design financial statement upload interface task is implemented, the feature should meet the approved capstone requirements and pass review against its expected behavior.</x:v>
      </x:c>
      <x:c r="D165" s="16" t="str">
        <x:v>ClickUp task evidence, implementation output, QA notes, screenshots, tests, or manuscript updates for Design financial statement upload interface.</x:v>
      </x:c>
      <x:c r="E165" s="18" t="n">
        <x:v>0.0013611111111111111</x:v>
      </x:c>
      <x:c r="F165" s="16" t="str">
        <x:v>planning/backlog</x:v>
      </x:c>
      <x:c r="G165" s="17" t="b">
        <x:v>0</x:v>
      </x:c>
      <x:c r="H165" s="16" t="str">
        <x:v>https://app.clickup.com/t/86d390j77</x:v>
      </x:c>
    </x:row>
    <x:row r="166">
      <x:c r="A166" s="16" t="str">
        <x:v>DEV-01</x:v>
      </x:c>
      <x:c r="B166" s="16" t="str">
        <x:v>Build financial statement upload form</x:v>
      </x:c>
      <x:c r="C166" s="16" t="str">
        <x:v>Given the PAULUS Build financial statement upload form task is implemented, the feature should meet the approved capstone requirements and pass review against its expected behavior.</x:v>
      </x:c>
      <x:c r="D166" s="16" t="str">
        <x:v>ClickUp task evidence, implementation output, QA notes, screenshots, tests, or manuscript updates for Build financial statement upload form.</x:v>
      </x:c>
      <x:c r="E166" s="18" t="n">
        <x:v>0.0013611111111111111</x:v>
      </x:c>
      <x:c r="F166" s="16" t="str">
        <x:v>planning/backlog</x:v>
      </x:c>
      <x:c r="G166" s="17" t="b">
        <x:v>0</x:v>
      </x:c>
      <x:c r="H166" s="16" t="str">
        <x:v>https://app.clickup.com/t/86d390jhb</x:v>
      </x:c>
    </x:row>
    <x:row r="167">
      <x:c r="A167" s="16" t="str">
        <x:v>DEV-02</x:v>
      </x:c>
      <x:c r="B167" s="16" t="str">
        <x:v>Add financial statement preview display</x:v>
      </x:c>
      <x:c r="C167" s="16" t="str">
        <x:v>Given the PAULUS Add financial statement preview display task is implemented, the feature should meet the approved capstone requirements and pass review against its expected behavior.</x:v>
      </x:c>
      <x:c r="D167" s="16" t="str">
        <x:v>ClickUp task evidence, implementation output, QA notes, screenshots, tests, or manuscript updates for Add financial statement preview display.</x:v>
      </x:c>
      <x:c r="E167" s="18" t="n">
        <x:v>0.0013611111111111111</x:v>
      </x:c>
      <x:c r="F167" s="16" t="str">
        <x:v>planning/backlog</x:v>
      </x:c>
      <x:c r="G167" s="17" t="b">
        <x:v>0</x:v>
      </x:c>
      <x:c r="H167" s="16" t="str">
        <x:v>https://app.clickup.com/t/86d390jjd</x:v>
      </x:c>
    </x:row>
    <x:row r="168">
      <x:c r="A168" s="16" t="str">
        <x:v>DEV-03</x:v>
      </x:c>
      <x:c r="B168" s="16" t="str">
        <x:v>Connect financial statement upload to backend API</x:v>
      </x:c>
      <x:c r="C168" s="16" t="str">
        <x:v>Given the PAULUS Connect financial statement upload to backend API task is implemented, the feature should meet the approved capstone requirements and pass review against its expected behavior.</x:v>
      </x:c>
      <x:c r="D168" s="16" t="str">
        <x:v>ClickUp task evidence, implementation output, QA notes, screenshots, tests, or manuscript updates for Connect financial statement upload to backend API.</x:v>
      </x:c>
      <x:c r="E168" s="18" t="n">
        <x:v>0.0013611111111111111</x:v>
      </x:c>
      <x:c r="F168" s="16" t="str">
        <x:v>planning/backlog</x:v>
      </x:c>
      <x:c r="G168" s="17" t="b">
        <x:v>0</x:v>
      </x:c>
      <x:c r="H168" s="16" t="str">
        <x:v>https://app.clickup.com/t/86d390jm9</x:v>
      </x:c>
    </x:row>
    <x:row r="169">
      <x:c r="A169" s="16" t="str">
        <x:v>TEST-01</x:v>
      </x:c>
      <x:c r="B169" s="16" t="str">
        <x:v>Test financial statement upload and preview</x:v>
      </x:c>
      <x:c r="C169" s="16" t="str">
        <x:v>Given the PAULUS Test financial statement upload and preview task is implemented, the feature should meet the approved capstone requirements and pass review against its expected behavior.</x:v>
      </x:c>
      <x:c r="D169" s="16" t="str">
        <x:v>ClickUp task evidence, implementation output, QA notes, screenshots, tests, or manuscript updates for Test financial statement upload and preview.</x:v>
      </x:c>
      <x:c r="E169" s="18" t="n">
        <x:v>0.0013611111111111111</x:v>
      </x:c>
      <x:c r="F169" s="16" t="str">
        <x:v>planning/backlog</x:v>
      </x:c>
      <x:c r="G169" s="17" t="b">
        <x:v>0</x:v>
      </x:c>
      <x:c r="H169" s="16" t="str">
        <x:v>https://app.clickup.com/t/86d390jnp</x:v>
      </x:c>
    </x:row>
    <x:row r="170">
      <x:c r="A170" s="16" t="str">
        <x:v>FIX-01</x:v>
      </x:c>
      <x:c r="B170" s="16" t="str">
        <x:v>Resolve financial statement upload issues</x:v>
      </x:c>
      <x:c r="C170" s="16" t="str">
        <x:v>Given the PAULUS Resolve financial statement upload issues task is implemented, the feature should meet the approved capstone requirements and pass review against its expected behavior.</x:v>
      </x:c>
      <x:c r="D170" s="16" t="str">
        <x:v>ClickUp task evidence, implementation output, QA notes, screenshots, tests, or manuscript updates for Resolve financial statement upload issues.</x:v>
      </x:c>
      <x:c r="E170" s="18" t="n">
        <x:v>0.0013611111111111111</x:v>
      </x:c>
      <x:c r="F170" s="16" t="str">
        <x:v>planning/backlog</x:v>
      </x:c>
      <x:c r="G170" s="17" t="b">
        <x:v>0</x:v>
      </x:c>
      <x:c r="H170" s="16" t="str">
        <x:v>https://app.clickup.com/t/86d390jq6</x:v>
      </x:c>
    </x:row>
    <x:row r="171">
      <x:c r="A171" s="16" t="str">
        <x:v>UAT-01</x:v>
      </x:c>
      <x:c r="B171" s="16" t="str">
        <x:v>Validate financial statement upload with target users</x:v>
      </x:c>
      <x:c r="C171" s="16" t="str">
        <x:v>Given the PAULUS Validate financial statement upload with target users task is implemented, the feature should meet the approved capstone requirements and pass review against its expected behavior.</x:v>
      </x:c>
      <x:c r="D171" s="16" t="str">
        <x:v>ClickUp task evidence, implementation output, QA notes, screenshots, tests, or manuscript updates for Validate financial statement upload with target users.</x:v>
      </x:c>
      <x:c r="E171" s="18" t="n">
        <x:v>0.0013611111111111111</x:v>
      </x:c>
      <x:c r="F171" s="16" t="str">
        <x:v>planning/backlog</x:v>
      </x:c>
      <x:c r="G171" s="17" t="b">
        <x:v>0</x:v>
      </x:c>
      <x:c r="H171" s="16" t="str">
        <x:v>https://app.clickup.com/t/86d390jra</x:v>
      </x:c>
    </x:row>
    <x:row r="172">
      <x:c r="A172" s="16" t="str">
        <x:v>MS-01</x:v>
      </x:c>
      <x:c r="B172" s="16" t="str">
        <x:v>Document financial statement upload interface</x:v>
      </x:c>
      <x:c r="C172" s="16" t="str">
        <x:v>Given the PAULUS Document financial statement upload interface task is implemented, the feature should meet the approved capstone requirements and pass review against its expected behavior.</x:v>
      </x:c>
      <x:c r="D172" s="16" t="str">
        <x:v>ClickUp task evidence, implementation output, QA notes, screenshots, tests, or manuscript updates for Document financial statement upload interface.</x:v>
      </x:c>
      <x:c r="E172" s="18" t="n">
        <x:v>0.0013611111111111111</x:v>
      </x:c>
      <x:c r="F172" s="16" t="str">
        <x:v>planning/backlog</x:v>
      </x:c>
      <x:c r="G172" s="17" t="b">
        <x:v>0</x:v>
      </x:c>
      <x:c r="H172" s="16" t="str">
        <x:v>https://app.clickup.com/t/86d390jtr</x:v>
      </x:c>
    </x:row>
    <x:row r="173">
      <x:c r="A173" s="26" t="str">
        <x:v>Total Accomplished</x:v>
      </x:c>
      <x:c r="B173" s="26" t="str"/>
      <x:c r="C173" s="26" t="str"/>
      <x:c r="D173" s="26" t="str"/>
      <x:c r="E173" s="27" t="n">
        <x:f>SUM(E164:E172)</x:f>
        <x:v>0.012250000000000002</x:v>
      </x:c>
      <x:c r="F173" s="27" t="str"/>
      <x:c r="G173" s="27" t="n">
        <x:f>SUMIF(G164:G172, TRUE, E164:E172)</x:f>
        <x:v>0</x:v>
      </x:c>
      <x:c r="H173" s="26" t="str"/>
    </x:row>
    <x:row r="175">
      <x:c r="A175" s="4" t="str">
        <x:v>Task ID</x:v>
      </x:c>
      <x:c r="B175" s="4" t="str">
        <x:v>ANNC</x:v>
      </x:c>
      <x:c r="C175" s="4" t="str">
        <x:v>Task Name</x:v>
      </x:c>
      <x:c r="D175" s="4" t="str">
        <x:v>Announcements Interface</x:v>
      </x:c>
      <x:c r="E175" s="4" t="str"/>
      <x:c r="F175" s="4" t="str">
        <x:v>for qa / internal testing</x:v>
      </x:c>
      <x:c r="G175" s="4" t="str"/>
      <x:c r="H175" s="4" t="str">
        <x:v>https://app.clickup.com/t/86d38tgbu</x:v>
      </x:c>
    </x:row>
    <x:row r="176">
      <x:c r="A176" s="8" t="str">
        <x:v>Subtask ID</x:v>
      </x:c>
      <x:c r="B176" s="8" t="str">
        <x:v>Subtask / Task Name</x:v>
      </x:c>
      <x:c r="C176" s="8" t="str">
        <x:v>Acceptance Criteria</x:v>
      </x:c>
      <x:c r="D176" s="8" t="str">
        <x:v>Evidence / Deliverable</x:v>
      </x:c>
      <x:c r="E176" s="8" t="str">
        <x:v>Weight Allocation</x:v>
      </x:c>
      <x:c r="F176" s="8" t="str">
        <x:v>ClickUp Status</x:v>
      </x:c>
      <x:c r="G176" s="8" t="str">
        <x:v>Accepted</x:v>
      </x:c>
      <x:c r="H176" s="8" t="str">
        <x:v>ClickUp URL</x:v>
      </x:c>
    </x:row>
    <x:row r="177">
      <x:c r="A177" s="16" t="str">
        <x:v>REQ-01</x:v>
      </x:c>
      <x:c r="B177" s="16" t="str">
        <x:v>Define announcements page requirements</x:v>
      </x:c>
      <x:c r="C177" s="16" t="str">
        <x:v>Given the PAULUS Define announcements page requirements task is implemented, the feature should meet the approved capstone requirements and pass review against its expected behavior.</x:v>
      </x:c>
      <x:c r="D177" s="16" t="str">
        <x:v>ClickUp task evidence, implementation output, QA notes, screenshots, tests, or manuscript updates for Define announcements page requirements.</x:v>
      </x:c>
      <x:c r="E177" s="18" t="n">
        <x:v>0.00175</x:v>
      </x:c>
      <x:c r="F177" s="16" t="str">
        <x:v>standardized subtask - URL pending</x:v>
      </x:c>
      <x:c r="G177" s="17" t="b">
        <x:v>0</x:v>
      </x:c>
      <x:c r="H177" s="16" t="str"/>
    </x:row>
    <x:row r="178">
      <x:c r="A178" s="16" t="str">
        <x:v>DES-01</x:v>
      </x:c>
      <x:c r="B178" s="16" t="str">
        <x:v>Design announcements page and notification display</x:v>
      </x:c>
      <x:c r="C178" s="16" t="str">
        <x:v>Given the PAULUS Design announcements page and notification display task is implemented, the feature should meet the approved capstone requirements and pass review against its expected behavior.</x:v>
      </x:c>
      <x:c r="D178" s="16" t="str">
        <x:v>ClickUp task evidence, implementation output, QA notes, screenshots, tests, or manuscript updates for Design announcements page and notification display.</x:v>
      </x:c>
      <x:c r="E178" s="18" t="n">
        <x:v>0.00175</x:v>
      </x:c>
      <x:c r="F178" s="16" t="str">
        <x:v>planning/backlog</x:v>
      </x:c>
      <x:c r="G178" s="17" t="b">
        <x:v>0</x:v>
      </x:c>
      <x:c r="H178" s="16" t="str">
        <x:v>https://app.clickup.com/t/86d390g9n</x:v>
      </x:c>
    </x:row>
    <x:row r="179">
      <x:c r="A179" s="16" t="str">
        <x:v>DEV-01</x:v>
      </x:c>
      <x:c r="B179" s="16" t="str">
        <x:v>Build announcements page interface</x:v>
      </x:c>
      <x:c r="C179" s="16" t="str">
        <x:v>Given the PAULUS Build announcements page interface task is implemented, the feature should meet the approved capstone requirements and pass review against its expected behavior.</x:v>
      </x:c>
      <x:c r="D179" s="16" t="str">
        <x:v>ClickUp task evidence, implementation output, QA notes, screenshots, tests, or manuscript updates for Build announcements page interface.</x:v>
      </x:c>
      <x:c r="E179" s="18" t="n">
        <x:v>0.00175</x:v>
      </x:c>
      <x:c r="F179" s="16" t="str">
        <x:v>standardized subtask - URL pending</x:v>
      </x:c>
      <x:c r="G179" s="17" t="b">
        <x:v>0</x:v>
      </x:c>
      <x:c r="H179" s="16" t="str"/>
    </x:row>
    <x:row r="180">
      <x:c r="A180" s="16" t="str">
        <x:v>TEST-01</x:v>
      </x:c>
      <x:c r="B180" s="16" t="str">
        <x:v>Test announcement creation, editing, publishing, and display</x:v>
      </x:c>
      <x:c r="C180" s="16" t="str">
        <x:v>Given the PAULUS Test announcement creation, editing, publishing, and display task is implemented, the feature should meet the approved capstone requirements and pass review against its expected behavior.</x:v>
      </x:c>
      <x:c r="D180" s="16" t="str">
        <x:v>ClickUp task evidence, implementation output, QA notes, screenshots, tests, or manuscript updates for Test announcement creation, editing, publishing, and display.</x:v>
      </x:c>
      <x:c r="E180" s="18" t="n">
        <x:v>0.00175</x:v>
      </x:c>
      <x:c r="F180" s="16" t="str">
        <x:v>standardized subtask - URL pending</x:v>
      </x:c>
      <x:c r="G180" s="17" t="b">
        <x:v>0</x:v>
      </x:c>
      <x:c r="H180" s="16" t="str"/>
    </x:row>
    <x:row r="181">
      <x:c r="A181" s="16" t="str">
        <x:v>FIX-01</x:v>
      </x:c>
      <x:c r="B181" s="16" t="str">
        <x:v>Resolve announcements page issues</x:v>
      </x:c>
      <x:c r="C181" s="16" t="str">
        <x:v>Given the PAULUS Resolve announcements page issues task is implemented, the feature should meet the approved capstone requirements and pass review against its expected behavior.</x:v>
      </x:c>
      <x:c r="D181" s="16" t="str">
        <x:v>ClickUp task evidence, implementation output, QA notes, screenshots, tests, or manuscript updates for Resolve announcements page issues.</x:v>
      </x:c>
      <x:c r="E181" s="18" t="n">
        <x:v>0.00175</x:v>
      </x:c>
      <x:c r="F181" s="16" t="str">
        <x:v>standardized subtask - URL pending</x:v>
      </x:c>
      <x:c r="G181" s="17" t="b">
        <x:v>0</x:v>
      </x:c>
      <x:c r="H181" s="16" t="str"/>
    </x:row>
    <x:row r="182">
      <x:c r="A182" s="16" t="str">
        <x:v>UAT-01</x:v>
      </x:c>
      <x:c r="B182" s="16" t="str">
        <x:v>Validate announcements page with target users</x:v>
      </x:c>
      <x:c r="C182" s="16" t="str">
        <x:v>Given the PAULUS Validate announcements page with target users task is implemented, the feature should meet the approved capstone requirements and pass review against its expected behavior.</x:v>
      </x:c>
      <x:c r="D182" s="16" t="str">
        <x:v>ClickUp task evidence, implementation output, QA notes, screenshots, tests, or manuscript updates for Validate announcements page with target users.</x:v>
      </x:c>
      <x:c r="E182" s="18" t="n">
        <x:v>0.00175</x:v>
      </x:c>
      <x:c r="F182" s="16" t="str">
        <x:v>standardized subtask - URL pending</x:v>
      </x:c>
      <x:c r="G182" s="17" t="b">
        <x:v>0</x:v>
      </x:c>
      <x:c r="H182" s="16" t="str"/>
    </x:row>
    <x:row r="183">
      <x:c r="A183" s="16" t="str">
        <x:v>MS-01</x:v>
      </x:c>
      <x:c r="B183" s="16" t="str">
        <x:v>Document announcements module in Chapter 4</x:v>
      </x:c>
      <x:c r="C183" s="16" t="str">
        <x:v>Given the PAULUS Document announcements module in Chapter 4 task is implemented, the feature should meet the approved capstone requirements and pass review against its expected behavior.</x:v>
      </x:c>
      <x:c r="D183" s="16" t="str">
        <x:v>ClickUp task evidence, implementation output, QA notes, screenshots, tests, or manuscript updates for Document announcements module in Chapter 4.</x:v>
      </x:c>
      <x:c r="E183" s="18" t="n">
        <x:v>0.00175</x:v>
      </x:c>
      <x:c r="F183" s="16" t="str">
        <x:v>standardized subtask - URL pending</x:v>
      </x:c>
      <x:c r="G183" s="17" t="b">
        <x:v>0</x:v>
      </x:c>
      <x:c r="H183" s="16" t="str"/>
    </x:row>
    <x:row r="184">
      <x:c r="A184" s="26" t="str">
        <x:v>Total Accomplished</x:v>
      </x:c>
      <x:c r="B184" s="26" t="str"/>
      <x:c r="C184" s="26" t="str"/>
      <x:c r="D184" s="26" t="str"/>
      <x:c r="E184" s="27" t="n">
        <x:f>SUM(E177:E183)</x:f>
        <x:v>0.01225</x:v>
      </x:c>
      <x:c r="F184" s="27" t="str"/>
      <x:c r="G184" s="27" t="n">
        <x:f>SUMIF(G177:G183, TRUE, E177:E183)</x:f>
        <x:v>0</x:v>
      </x:c>
      <x:c r="H184" s="26" t="str"/>
    </x:row>
    <x:row r="186">
      <x:c r="A186" s="4" t="str">
        <x:v>Task ID</x:v>
      </x:c>
      <x:c r="B186" s="4" t="str">
        <x:v>NOTIF</x:v>
      </x:c>
      <x:c r="C186" s="4" t="str">
        <x:v>Task Name</x:v>
      </x:c>
      <x:c r="D186" s="4" t="str">
        <x:v>Notification Feature</x:v>
      </x:c>
      <x:c r="E186" s="4" t="str"/>
      <x:c r="F186" s="4" t="str">
        <x:v>planning/backlog</x:v>
      </x:c>
      <x:c r="G186" s="4" t="str"/>
      <x:c r="H186" s="4" t="str">
        <x:v>https://app.clickup.com/t/86d3bw6ht</x:v>
      </x:c>
    </x:row>
    <x:row r="187">
      <x:c r="A187" s="8" t="str">
        <x:v>Subtask ID</x:v>
      </x:c>
      <x:c r="B187" s="8" t="str">
        <x:v>Subtask / Task Name</x:v>
      </x:c>
      <x:c r="C187" s="8" t="str">
        <x:v>Acceptance Criteria</x:v>
      </x:c>
      <x:c r="D187" s="8" t="str">
        <x:v>Evidence / Deliverable</x:v>
      </x:c>
      <x:c r="E187" s="8" t="str">
        <x:v>Weight Allocation</x:v>
      </x:c>
      <x:c r="F187" s="8" t="str">
        <x:v>ClickUp Status</x:v>
      </x:c>
      <x:c r="G187" s="8" t="str">
        <x:v>Accepted</x:v>
      </x:c>
      <x:c r="H187" s="8" t="str">
        <x:v>ClickUp URL</x:v>
      </x:c>
    </x:row>
    <x:row r="188">
      <x:c r="A188" s="16" t="str">
        <x:v>REQ-01</x:v>
      </x:c>
      <x:c r="B188" s="16" t="str">
        <x:v>Define notification UI requirements</x:v>
      </x:c>
      <x:c r="C188" s="16" t="str">
        <x:v>Given the PAULUS Define notification UI requirements task is implemented, the feature should meet the approved capstone requirements and pass review against its expected behavior.</x:v>
      </x:c>
      <x:c r="D188" s="16" t="str">
        <x:v>ClickUp task evidence, implementation output, QA notes, screenshots, tests, or manuscript updates for Define notification UI requirements.</x:v>
      </x:c>
      <x:c r="E188" s="18" t="n">
        <x:v>0.00175</x:v>
      </x:c>
      <x:c r="F188" s="16" t="str">
        <x:v>planning/backlog</x:v>
      </x:c>
      <x:c r="G188" s="17" t="b">
        <x:v>0</x:v>
      </x:c>
      <x:c r="H188" s="16" t="str">
        <x:v>https://app.clickup.com/t/86d3bwpdz</x:v>
      </x:c>
    </x:row>
    <x:row r="189">
      <x:c r="A189" s="16" t="str">
        <x:v>DES-01</x:v>
      </x:c>
      <x:c r="B189" s="16" t="str">
        <x:v>Design notification display and read-state workflow</x:v>
      </x:c>
      <x:c r="C189" s="16" t="str">
        <x:v>Given the PAULUS Design notification display and read-state workflow task is implemented, the feature should meet the approved capstone requirements and pass review against its expected behavior.</x:v>
      </x:c>
      <x:c r="D189" s="16" t="str">
        <x:v>ClickUp task evidence, implementation output, QA notes, screenshots, tests, or manuscript updates for Design notification display and read-state workflow.</x:v>
      </x:c>
      <x:c r="E189" s="18" t="n">
        <x:v>0.00175</x:v>
      </x:c>
      <x:c r="F189" s="16" t="str">
        <x:v>planning/backlog</x:v>
      </x:c>
      <x:c r="G189" s="17" t="b">
        <x:v>0</x:v>
      </x:c>
      <x:c r="H189" s="16" t="str">
        <x:v>https://app.clickup.com/t/86d3bwpg7</x:v>
      </x:c>
    </x:row>
    <x:row r="190">
      <x:c r="A190" s="16" t="str">
        <x:v>DEV-01</x:v>
      </x:c>
      <x:c r="B190" s="16" t="str">
        <x:v>Build notification display and read-state UI</x:v>
      </x:c>
      <x:c r="C190" s="16" t="str">
        <x:v>Given the PAULUS Build notification display and read-state UI task is implemented, the feature should meet the approved capstone requirements and pass review against its expected behavior.</x:v>
      </x:c>
      <x:c r="D190" s="16" t="str">
        <x:v>ClickUp task evidence, implementation output, QA notes, screenshots, tests, or manuscript updates for Build notification display and read-state UI.</x:v>
      </x:c>
      <x:c r="E190" s="18" t="n">
        <x:v>0.00175</x:v>
      </x:c>
      <x:c r="F190" s="16" t="str">
        <x:v>planning/backlog</x:v>
      </x:c>
      <x:c r="G190" s="17" t="b">
        <x:v>0</x:v>
      </x:c>
      <x:c r="H190" s="16" t="str">
        <x:v>https://app.clickup.com/t/86d3bwpnc</x:v>
      </x:c>
    </x:row>
    <x:row r="191">
      <x:c r="A191" s="16" t="str">
        <x:v>TEST-01</x:v>
      </x:c>
      <x:c r="B191" s="16" t="str">
        <x:v>Test notification visibility, dismissal, and state behavior</x:v>
      </x:c>
      <x:c r="C191" s="16" t="str">
        <x:v>Given the PAULUS Test notification visibility, dismissal, and state behavior task is implemented, the feature should meet the approved capstone requirements and pass review against its expected behavior.</x:v>
      </x:c>
      <x:c r="D191" s="16" t="str">
        <x:v>ClickUp task evidence, implementation output, QA notes, screenshots, tests, or manuscript updates for Test notification visibility, dismissal, and state behavior.</x:v>
      </x:c>
      <x:c r="E191" s="18" t="n">
        <x:v>0.00175</x:v>
      </x:c>
      <x:c r="F191" s="16" t="str">
        <x:v>planning/backlog</x:v>
      </x:c>
      <x:c r="G191" s="17" t="b">
        <x:v>0</x:v>
      </x:c>
      <x:c r="H191" s="16" t="str">
        <x:v>https://app.clickup.com/t/86d3bwpnw</x:v>
      </x:c>
    </x:row>
    <x:row r="192">
      <x:c r="A192" s="16" t="str">
        <x:v>FIX-01</x:v>
      </x:c>
      <x:c r="B192" s="16" t="str">
        <x:v>Resolve notification UI issues</x:v>
      </x:c>
      <x:c r="C192" s="16" t="str">
        <x:v>Given the PAULUS Resolve notification UI issues task is implemented, the feature should meet the approved capstone requirements and pass review against its expected behavior.</x:v>
      </x:c>
      <x:c r="D192" s="16" t="str">
        <x:v>ClickUp task evidence, implementation output, QA notes, screenshots, tests, or manuscript updates for Resolve notification UI issues.</x:v>
      </x:c>
      <x:c r="E192" s="18" t="n">
        <x:v>0.00175</x:v>
      </x:c>
      <x:c r="F192" s="16" t="str">
        <x:v>planning/backlog</x:v>
      </x:c>
      <x:c r="G192" s="17" t="b">
        <x:v>0</x:v>
      </x:c>
      <x:c r="H192" s="16" t="str">
        <x:v>https://app.clickup.com/t/86d3bwppd</x:v>
      </x:c>
    </x:row>
    <x:row r="193">
      <x:c r="A193" s="16" t="str">
        <x:v>UAT-01</x:v>
      </x:c>
      <x:c r="B193" s="16" t="str">
        <x:v>Validate notifications with target users</x:v>
      </x:c>
      <x:c r="C193" s="16" t="str">
        <x:v>Given the PAULUS Validate notifications with target users task is implemented, the feature should meet the approved capstone requirements and pass review against its expected behavior.</x:v>
      </x:c>
      <x:c r="D193" s="16" t="str">
        <x:v>ClickUp task evidence, implementation output, QA notes, screenshots, tests, or manuscript updates for Validate notifications with target users.</x:v>
      </x:c>
      <x:c r="E193" s="18" t="n">
        <x:v>0.00175</x:v>
      </x:c>
      <x:c r="F193" s="16" t="str">
        <x:v>planning/backlog</x:v>
      </x:c>
      <x:c r="G193" s="17" t="b">
        <x:v>0</x:v>
      </x:c>
      <x:c r="H193" s="16" t="str">
        <x:v>https://app.clickup.com/t/86d3bwpq4</x:v>
      </x:c>
    </x:row>
    <x:row r="194">
      <x:c r="A194" s="16" t="str">
        <x:v>MS-01</x:v>
      </x:c>
      <x:c r="B194" s="16" t="str">
        <x:v>Document notification feature in Chapter 4</x:v>
      </x:c>
      <x:c r="C194" s="16" t="str">
        <x:v>Given the PAULUS Document notification feature in Chapter 4 task is implemented, the feature should meet the approved capstone requirements and pass review against its expected behavior.</x:v>
      </x:c>
      <x:c r="D194" s="16" t="str">
        <x:v>ClickUp task evidence, implementation output, QA notes, screenshots, tests, or manuscript updates for Document notification feature in Chapter 4.</x:v>
      </x:c>
      <x:c r="E194" s="18" t="n">
        <x:v>0.00175</x:v>
      </x:c>
      <x:c r="F194" s="16" t="str">
        <x:v>planning/backlog</x:v>
      </x:c>
      <x:c r="G194" s="17" t="b">
        <x:v>0</x:v>
      </x:c>
      <x:c r="H194" s="16" t="str">
        <x:v>https://app.clickup.com/t/86d3bwpqz</x:v>
      </x:c>
    </x:row>
    <x:row r="195">
      <x:c r="A195" s="26" t="str">
        <x:v>Total Accomplished</x:v>
      </x:c>
      <x:c r="B195" s="26" t="str"/>
      <x:c r="C195" s="26" t="str"/>
      <x:c r="D195" s="26" t="str"/>
      <x:c r="E195" s="27" t="n">
        <x:f>SUM(E188:E194)</x:f>
        <x:v>0.01225</x:v>
      </x:c>
      <x:c r="F195" s="27" t="str"/>
      <x:c r="G195" s="27" t="n">
        <x:f>SUMIF(G188:G194, TRUE, E188:E194)</x:f>
        <x:v>0</x:v>
      </x:c>
      <x:c r="H195" s="26" t="str"/>
    </x:row>
    <x:row r="197">
      <x:c r="A197" s="4" t="str">
        <x:v>Task ID</x:v>
      </x:c>
      <x:c r="B197" s="4" t="str">
        <x:v>IAFR</x:v>
      </x:c>
      <x:c r="C197" s="4" t="str">
        <x:v>Task Name</x:v>
      </x:c>
      <x:c r="D197" s="4" t="str">
        <x:v>IAFR Data Entry and Upload Interface</x:v>
      </x:c>
      <x:c r="E197" s="4" t="str"/>
      <x:c r="F197" s="4" t="str">
        <x:v>for qa / internal testing</x:v>
      </x:c>
      <x:c r="G197" s="4" t="str"/>
      <x:c r="H197" s="4" t="str">
        <x:v>https://app.clickup.com/t/86d38tga9</x:v>
      </x:c>
    </x:row>
    <x:row r="198">
      <x:c r="A198" s="8" t="str">
        <x:v>Subtask ID</x:v>
      </x:c>
      <x:c r="B198" s="8" t="str">
        <x:v>Subtask / Task Name</x:v>
      </x:c>
      <x:c r="C198" s="8" t="str">
        <x:v>Acceptance Criteria</x:v>
      </x:c>
      <x:c r="D198" s="8" t="str">
        <x:v>Evidence / Deliverable</x:v>
      </x:c>
      <x:c r="E198" s="8" t="str">
        <x:v>Weight Allocation</x:v>
      </x:c>
      <x:c r="F198" s="8" t="str">
        <x:v>ClickUp Status</x:v>
      </x:c>
      <x:c r="G198" s="8" t="str">
        <x:v>Accepted</x:v>
      </x:c>
      <x:c r="H198" s="8" t="str">
        <x:v>ClickUp URL</x:v>
      </x:c>
    </x:row>
    <x:row r="199">
      <x:c r="A199" s="16" t="str">
        <x:v>REQ-01</x:v>
      </x:c>
      <x:c r="B199" s="16" t="str">
        <x:v>Define IAFR upload and encoding requirements</x:v>
      </x:c>
      <x:c r="C199" s="16" t="str">
        <x:v>Given the PAULUS Define IAFR upload and encoding requirements task is implemented, the feature should meet the approved capstone requirements and pass review against its expected behavior.</x:v>
      </x:c>
      <x:c r="D199" s="16" t="str">
        <x:v>ClickUp task evidence, implementation output, QA notes, screenshots, tests, or manuscript updates for Define IAFR upload and encoding requirements.</x:v>
      </x:c>
      <x:c r="E199" s="18" t="n">
        <x:v>0.0013611111111111111</x:v>
      </x:c>
      <x:c r="F199" s="16" t="str">
        <x:v>planning/backlog</x:v>
      </x:c>
      <x:c r="G199" s="17" t="b">
        <x:v>0</x:v>
      </x:c>
      <x:c r="H199" s="16" t="str">
        <x:v>https://app.clickup.com/t/86d390jyp</x:v>
      </x:c>
    </x:row>
    <x:row r="200">
      <x:c r="A200" s="16" t="str">
        <x:v>DES-01</x:v>
      </x:c>
      <x:c r="B200" s="16" t="str">
        <x:v>Design IAFR upload and entry interface</x:v>
      </x:c>
      <x:c r="C200" s="16" t="str">
        <x:v>Given the PAULUS Design IAFR upload and entry interface task is implemented, the feature should meet the approved capstone requirements and pass review against its expected behavior.</x:v>
      </x:c>
      <x:c r="D200" s="16" t="str">
        <x:v>ClickUp task evidence, implementation output, QA notes, screenshots, tests, or manuscript updates for Design IAFR upload and entry interface.</x:v>
      </x:c>
      <x:c r="E200" s="18" t="n">
        <x:v>0.0013611111111111111</x:v>
      </x:c>
      <x:c r="F200" s="16" t="str">
        <x:v>planning/backlog</x:v>
      </x:c>
      <x:c r="G200" s="17" t="b">
        <x:v>0</x:v>
      </x:c>
      <x:c r="H200" s="16" t="str">
        <x:v>https://app.clickup.com/t/86d390jzv</x:v>
      </x:c>
    </x:row>
    <x:row r="201">
      <x:c r="A201" s="16" t="str">
        <x:v>DEV-01</x:v>
      </x:c>
      <x:c r="B201" s="16" t="str">
        <x:v>Build IAFR upload form</x:v>
      </x:c>
      <x:c r="C201" s="16" t="str">
        <x:v>Given the PAULUS Build IAFR upload form task is implemented, the feature should meet the approved capstone requirements and pass review against its expected behavior.</x:v>
      </x:c>
      <x:c r="D201" s="16" t="str">
        <x:v>ClickUp task evidence, implementation output, QA notes, screenshots, tests, or manuscript updates for Build IAFR upload form.</x:v>
      </x:c>
      <x:c r="E201" s="18" t="n">
        <x:v>0.0013611111111111111</x:v>
      </x:c>
      <x:c r="F201" s="16" t="str">
        <x:v>planning/backlog</x:v>
      </x:c>
      <x:c r="G201" s="17" t="b">
        <x:v>0</x:v>
      </x:c>
      <x:c r="H201" s="16" t="str">
        <x:v>https://app.clickup.com/t/86d390k11</x:v>
      </x:c>
    </x:row>
    <x:row r="202">
      <x:c r="A202" s="16" t="str">
        <x:v>DEV-02</x:v>
      </x:c>
      <x:c r="B202" s="16" t="str">
        <x:v>Build IAFR manual data entry fields</x:v>
      </x:c>
      <x:c r="C202" s="16" t="str">
        <x:v>Given the PAULUS Build IAFR manual data entry fields task is implemented, the feature should meet the approved capstone requirements and pass review against its expected behavior.</x:v>
      </x:c>
      <x:c r="D202" s="16" t="str">
        <x:v>ClickUp task evidence, implementation output, QA notes, screenshots, tests, or manuscript updates for Build IAFR manual data entry fields.</x:v>
      </x:c>
      <x:c r="E202" s="18" t="n">
        <x:v>0.0013611111111111111</x:v>
      </x:c>
      <x:c r="F202" s="16" t="str">
        <x:v>planning/backlog</x:v>
      </x:c>
      <x:c r="G202" s="17" t="b">
        <x:v>0</x:v>
      </x:c>
      <x:c r="H202" s="16" t="str">
        <x:v>https://app.clickup.com/t/86d390k25</x:v>
      </x:c>
    </x:row>
    <x:row r="203">
      <x:c r="A203" s="16" t="str">
        <x:v>DEV-03</x:v>
      </x:c>
      <x:c r="B203" s="16" t="str">
        <x:v>Connect IAFR interface to backend API</x:v>
      </x:c>
      <x:c r="C203" s="16" t="str">
        <x:v>Given the PAULUS Connect IAFR interface to backend API task is implemented, the feature should meet the approved capstone requirements and pass review against its expected behavior.</x:v>
      </x:c>
      <x:c r="D203" s="16" t="str">
        <x:v>ClickUp task evidence, implementation output, QA notes, screenshots, tests, or manuscript updates for Connect IAFR interface to backend API.</x:v>
      </x:c>
      <x:c r="E203" s="18" t="n">
        <x:v>0.0013611111111111111</x:v>
      </x:c>
      <x:c r="F203" s="16" t="str">
        <x:v>planning/backlog</x:v>
      </x:c>
      <x:c r="G203" s="17" t="b">
        <x:v>0</x:v>
      </x:c>
      <x:c r="H203" s="16" t="str">
        <x:v>https://app.clickup.com/t/86d390k3m</x:v>
      </x:c>
    </x:row>
    <x:row r="204">
      <x:c r="A204" s="16" t="str">
        <x:v>TEST-01</x:v>
      </x:c>
      <x:c r="B204" s="16" t="str">
        <x:v>Test IAFR file upload and manual entry</x:v>
      </x:c>
      <x:c r="C204" s="16" t="str">
        <x:v>Given the PAULUS Test IAFR file upload and manual entry task is implemented, the feature should meet the approved capstone requirements and pass review against its expected behavior.</x:v>
      </x:c>
      <x:c r="D204" s="16" t="str">
        <x:v>ClickUp task evidence, implementation output, QA notes, screenshots, tests, or manuscript updates for Test IAFR file upload and manual entry.</x:v>
      </x:c>
      <x:c r="E204" s="18" t="n">
        <x:v>0.0013611111111111111</x:v>
      </x:c>
      <x:c r="F204" s="16" t="str">
        <x:v>planning/backlog</x:v>
      </x:c>
      <x:c r="G204" s="17" t="b">
        <x:v>0</x:v>
      </x:c>
      <x:c r="H204" s="16" t="str">
        <x:v>https://app.clickup.com/t/86d390k5x</x:v>
      </x:c>
    </x:row>
    <x:row r="205">
      <x:c r="A205" s="16" t="str">
        <x:v>FIX-01</x:v>
      </x:c>
      <x:c r="B205" s="16" t="str">
        <x:v>Resolve IAFR interface and validation issues</x:v>
      </x:c>
      <x:c r="C205" s="16" t="str">
        <x:v>Given the PAULUS Resolve IAFR interface and validation issues task is implemented, the feature should meet the approved capstone requirements and pass review against its expected behavior.</x:v>
      </x:c>
      <x:c r="D205" s="16" t="str">
        <x:v>ClickUp task evidence, implementation output, QA notes, screenshots, tests, or manuscript updates for Resolve IAFR interface and validation issues.</x:v>
      </x:c>
      <x:c r="E205" s="18" t="n">
        <x:v>0.0013611111111111111</x:v>
      </x:c>
      <x:c r="F205" s="16" t="str">
        <x:v>planning/backlog</x:v>
      </x:c>
      <x:c r="G205" s="17" t="b">
        <x:v>0</x:v>
      </x:c>
      <x:c r="H205" s="16" t="str">
        <x:v>https://app.clickup.com/t/86d390k85</x:v>
      </x:c>
    </x:row>
    <x:row r="206">
      <x:c r="A206" s="16" t="str">
        <x:v>UAT-01</x:v>
      </x:c>
      <x:c r="B206" s="16" t="str">
        <x:v>Validate IAFR upload with target users</x:v>
      </x:c>
      <x:c r="C206" s="16" t="str">
        <x:v>Given the PAULUS Validate IAFR upload with target users task is implemented, the feature should meet the approved capstone requirements and pass review against its expected behavior.</x:v>
      </x:c>
      <x:c r="D206" s="16" t="str">
        <x:v>ClickUp task evidence, implementation output, QA notes, screenshots, tests, or manuscript updates for Validate IAFR upload with target users.</x:v>
      </x:c>
      <x:c r="E206" s="18" t="n">
        <x:v>0.0013611111111111111</x:v>
      </x:c>
      <x:c r="F206" s="16" t="str">
        <x:v>planning/backlog</x:v>
      </x:c>
      <x:c r="G206" s="17" t="b">
        <x:v>0</x:v>
      </x:c>
      <x:c r="H206" s="16" t="str">
        <x:v>https://app.clickup.com/t/86d390k9w</x:v>
      </x:c>
    </x:row>
    <x:row r="207">
      <x:c r="A207" s="16" t="str">
        <x:v>MS-01</x:v>
      </x:c>
      <x:c r="B207" s="16" t="str">
        <x:v>Document IAFR interface in Chapter 4</x:v>
      </x:c>
      <x:c r="C207" s="16" t="str">
        <x:v>Given the PAULUS Document IAFR interface in Chapter 4 task is implemented, the feature should meet the approved capstone requirements and pass review against its expected behavior.</x:v>
      </x:c>
      <x:c r="D207" s="16" t="str">
        <x:v>ClickUp task evidence, implementation output, QA notes, screenshots, tests, or manuscript updates for Document IAFR interface in Chapter 4.</x:v>
      </x:c>
      <x:c r="E207" s="18" t="n">
        <x:v>0.0013611111111111111</x:v>
      </x:c>
      <x:c r="F207" s="16" t="str">
        <x:v>planning/backlog</x:v>
      </x:c>
      <x:c r="G207" s="17" t="b">
        <x:v>0</x:v>
      </x:c>
      <x:c r="H207" s="16" t="str">
        <x:v>https://app.clickup.com/t/86d390ke6</x:v>
      </x:c>
    </x:row>
    <x:row r="208">
      <x:c r="A208" s="26" t="str">
        <x:v>Total Accomplished</x:v>
      </x:c>
      <x:c r="B208" s="26" t="str"/>
      <x:c r="C208" s="26" t="str"/>
      <x:c r="D208" s="26" t="str"/>
      <x:c r="E208" s="27" t="n">
        <x:f>SUM(E199:E207)</x:f>
        <x:v>0.012250000000000002</x:v>
      </x:c>
      <x:c r="F208" s="27" t="str"/>
      <x:c r="G208" s="27" t="n">
        <x:f>SUMIF(G199:G207, TRUE, E199:E207)</x:f>
        <x:v>0</x:v>
      </x:c>
      <x:c r="H208" s="26" t="str"/>
    </x:row>
    <x:row r="210">
      <x:c r="A210" s="4" t="str">
        <x:v>Task ID</x:v>
      </x:c>
      <x:c r="B210" s="4" t="str">
        <x:v>AUDITLOG</x:v>
      </x:c>
      <x:c r="C210" s="4" t="str">
        <x:v>Task Name</x:v>
      </x:c>
      <x:c r="D210" s="4" t="str">
        <x:v>Audit Log Viewing Interface</x:v>
      </x:c>
      <x:c r="E210" s="4" t="str"/>
      <x:c r="F210" s="4" t="str">
        <x:v>for qa / internal testing</x:v>
      </x:c>
      <x:c r="G210" s="4" t="str"/>
      <x:c r="H210" s="4" t="str">
        <x:v>https://app.clickup.com/t/86d38tgxt</x:v>
      </x:c>
    </x:row>
    <x:row r="211">
      <x:c r="A211" s="8" t="str">
        <x:v>Subtask ID</x:v>
      </x:c>
      <x:c r="B211" s="8" t="str">
        <x:v>Subtask / Task Name</x:v>
      </x:c>
      <x:c r="C211" s="8" t="str">
        <x:v>Acceptance Criteria</x:v>
      </x:c>
      <x:c r="D211" s="8" t="str">
        <x:v>Evidence / Deliverable</x:v>
      </x:c>
      <x:c r="E211" s="8" t="str">
        <x:v>Weight Allocation</x:v>
      </x:c>
      <x:c r="F211" s="8" t="str">
        <x:v>ClickUp Status</x:v>
      </x:c>
      <x:c r="G211" s="8" t="str">
        <x:v>Accepted</x:v>
      </x:c>
      <x:c r="H211" s="8" t="str">
        <x:v>ClickUp URL</x:v>
      </x:c>
    </x:row>
    <x:row r="212">
      <x:c r="A212" s="16" t="str">
        <x:v>REQ-01</x:v>
      </x:c>
      <x:c r="B212" s="16" t="str">
        <x:v>Define audit log viewing interface requirements</x:v>
      </x:c>
      <x:c r="C212" s="16" t="str">
        <x:v>Given the PAULUS Define audit log viewing interface requirements task is implemented, the feature should meet the approved capstone requirements and pass review against its expected behavior.</x:v>
      </x:c>
      <x:c r="D212" s="16" t="str">
        <x:v>ClickUp task evidence, implementation output, QA notes, screenshots, tests, or manuscript updates for Define audit log viewing interface requirements.</x:v>
      </x:c>
      <x:c r="E212" s="18" t="n">
        <x:v>0.0013611111111111111</x:v>
      </x:c>
      <x:c r="F212" s="16" t="str">
        <x:v>planning/backlog</x:v>
      </x:c>
      <x:c r="G212" s="17" t="b">
        <x:v>0</x:v>
      </x:c>
      <x:c r="H212" s="16" t="str">
        <x:v>https://app.clickup.com/t/86d3903tx</x:v>
      </x:c>
    </x:row>
    <x:row r="213">
      <x:c r="A213" s="16" t="str">
        <x:v>DES-01</x:v>
      </x:c>
      <x:c r="B213" s="16" t="str">
        <x:v>Design audit log timeline and detail panel layout</x:v>
      </x:c>
      <x:c r="C213" s="16" t="str">
        <x:v>Given the PAULUS Design audit log timeline and detail panel layout task is implemented, the feature should meet the approved capstone requirements and pass review against its expected behavior.</x:v>
      </x:c>
      <x:c r="D213" s="16" t="str">
        <x:v>ClickUp task evidence, implementation output, QA notes, screenshots, tests, or manuscript updates for Design audit log timeline and detail panel layout.</x:v>
      </x:c>
      <x:c r="E213" s="18" t="n">
        <x:v>0.0013611111111111111</x:v>
      </x:c>
      <x:c r="F213" s="16" t="str">
        <x:v>planning/backlog</x:v>
      </x:c>
      <x:c r="G213" s="17" t="b">
        <x:v>0</x:v>
      </x:c>
      <x:c r="H213" s="16" t="str">
        <x:v>https://app.clickup.com/t/86d3903wq</x:v>
      </x:c>
    </x:row>
    <x:row r="214">
      <x:c r="A214" s="16" t="str">
        <x:v>DEV-01</x:v>
      </x:c>
      <x:c r="B214" s="16" t="str">
        <x:v>Build audit log timeline and category filter interface</x:v>
      </x:c>
      <x:c r="C214" s="16" t="str">
        <x:v>Given the PAULUS Build audit log timeline and category filter interface task is implemented, the feature should meet the approved capstone requirements and pass review against its expected behavior.</x:v>
      </x:c>
      <x:c r="D214" s="16" t="str">
        <x:v>ClickUp task evidence, implementation output, QA notes, screenshots, tests, or manuscript updates for Build audit log timeline and category filter interface.</x:v>
      </x:c>
      <x:c r="E214" s="18" t="n">
        <x:v>0.0013611111111111111</x:v>
      </x:c>
      <x:c r="F214" s="16" t="str">
        <x:v>planning/backlog</x:v>
      </x:c>
      <x:c r="G214" s="17" t="b">
        <x:v>0</x:v>
      </x:c>
      <x:c r="H214" s="16" t="str">
        <x:v>https://app.clickup.com/t/86d3903yt</x:v>
      </x:c>
    </x:row>
    <x:row r="215">
      <x:c r="A215" s="16" t="str">
        <x:v>DEV-02</x:v>
      </x:c>
      <x:c r="B215" s="16" t="str">
        <x:v>Build field-level change detail panel</x:v>
      </x:c>
      <x:c r="C215" s="16" t="str">
        <x:v>Given the PAULUS Build field-level change detail panel task is implemented, the feature should meet the approved capstone requirements and pass review against its expected behavior.</x:v>
      </x:c>
      <x:c r="D215" s="16" t="str">
        <x:v>ClickUp task evidence, implementation output, QA notes, screenshots, tests, or manuscript updates for Build field-level change detail panel.</x:v>
      </x:c>
      <x:c r="E215" s="18" t="n">
        <x:v>0.0013611111111111111</x:v>
      </x:c>
      <x:c r="F215" s="16" t="str">
        <x:v>planning/backlog</x:v>
      </x:c>
      <x:c r="G215" s="17" t="b">
        <x:v>0</x:v>
      </x:c>
      <x:c r="H215" s="16" t="str">
        <x:v>https://app.clickup.com/t/86d390410</x:v>
      </x:c>
    </x:row>
    <x:row r="216">
      <x:c r="A216" s="16" t="str">
        <x:v>DEV-03</x:v>
      </x:c>
      <x:c r="B216" s="16" t="str">
        <x:v>Add audit log CSV export functionality</x:v>
      </x:c>
      <x:c r="C216" s="16" t="str">
        <x:v>Given the PAULUS Add audit log CSV export functionality task is implemented, the feature should meet the approved capstone requirements and pass review against its expected behavior.</x:v>
      </x:c>
      <x:c r="D216" s="16" t="str">
        <x:v>ClickUp task evidence, implementation output, QA notes, screenshots, tests, or manuscript updates for Add audit log CSV export functionality.</x:v>
      </x:c>
      <x:c r="E216" s="18" t="n">
        <x:v>0.0013611111111111111</x:v>
      </x:c>
      <x:c r="F216" s="16" t="str">
        <x:v>planning/backlog</x:v>
      </x:c>
      <x:c r="G216" s="17" t="b">
        <x:v>0</x:v>
      </x:c>
      <x:c r="H216" s="16" t="str">
        <x:v>https://app.clickup.com/t/86d39041k</x:v>
      </x:c>
    </x:row>
    <x:row r="217">
      <x:c r="A217" s="16" t="str">
        <x:v>TEST-01</x:v>
      </x:c>
      <x:c r="B217" s="16" t="str">
        <x:v>Test audit log display and field diff rendering</x:v>
      </x:c>
      <x:c r="C217" s="16" t="str">
        <x:v>Given the PAULUS Test audit log display and field diff rendering task is implemented, the feature should meet the approved capstone requirements and pass review against its expected behavior.</x:v>
      </x:c>
      <x:c r="D217" s="16" t="str">
        <x:v>ClickUp task evidence, implementation output, QA notes, screenshots, tests, or manuscript updates for Test audit log display and field diff rendering.</x:v>
      </x:c>
      <x:c r="E217" s="18" t="n">
        <x:v>0.0013611111111111111</x:v>
      </x:c>
      <x:c r="F217" s="16" t="str">
        <x:v>planning/backlog</x:v>
      </x:c>
      <x:c r="G217" s="17" t="b">
        <x:v>0</x:v>
      </x:c>
      <x:c r="H217" s="16" t="str">
        <x:v>https://app.clickup.com/t/86d39042r</x:v>
      </x:c>
    </x:row>
    <x:row r="218">
      <x:c r="A218" s="16" t="str">
        <x:v>FIX-01</x:v>
      </x:c>
      <x:c r="B218" s="16" t="str">
        <x:v>Resolve audit log interface and data issues</x:v>
      </x:c>
      <x:c r="C218" s="16" t="str">
        <x:v>Given the PAULUS Resolve audit log interface and data issues task is implemented, the feature should meet the approved capstone requirements and pass review against its expected behavior.</x:v>
      </x:c>
      <x:c r="D218" s="16" t="str">
        <x:v>ClickUp task evidence, implementation output, QA notes, screenshots, tests, or manuscript updates for Resolve audit log interface and data issues.</x:v>
      </x:c>
      <x:c r="E218" s="18" t="n">
        <x:v>0.0013611111111111111</x:v>
      </x:c>
      <x:c r="F218" s="16" t="str">
        <x:v>planning/backlog</x:v>
      </x:c>
      <x:c r="G218" s="17" t="b">
        <x:v>0</x:v>
      </x:c>
      <x:c r="H218" s="16" t="str">
        <x:v>https://app.clickup.com/t/86d39043x</x:v>
      </x:c>
    </x:row>
    <x:row r="219">
      <x:c r="A219" s="16" t="str">
        <x:v>UAT-01</x:v>
      </x:c>
      <x:c r="B219" s="16" t="str">
        <x:v>Validate audit log visibility with admin users</x:v>
      </x:c>
      <x:c r="C219" s="16" t="str">
        <x:v>Given the PAULUS Validate audit log visibility with admin users task is implemented, the feature should meet the approved capstone requirements and pass review against its expected behavior.</x:v>
      </x:c>
      <x:c r="D219" s="16" t="str">
        <x:v>ClickUp task evidence, implementation output, QA notes, screenshots, tests, or manuscript updates for Validate audit log visibility with admin users.</x:v>
      </x:c>
      <x:c r="E219" s="18" t="n">
        <x:v>0.0013611111111111111</x:v>
      </x:c>
      <x:c r="F219" s="16" t="str">
        <x:v>planning/backlog</x:v>
      </x:c>
      <x:c r="G219" s="17" t="b">
        <x:v>0</x:v>
      </x:c>
      <x:c r="H219" s="16" t="str">
        <x:v>https://app.clickup.com/t/86d39044m</x:v>
      </x:c>
    </x:row>
    <x:row r="220">
      <x:c r="A220" s="16" t="str">
        <x:v>MS-01</x:v>
      </x:c>
      <x:c r="B220" s="16" t="str">
        <x:v>Document audit log interface in Chapter 4</x:v>
      </x:c>
      <x:c r="C220" s="16" t="str">
        <x:v>Given the PAULUS Document audit log interface in Chapter 4 task is implemented, the feature should meet the approved capstone requirements and pass review against its expected behavior.</x:v>
      </x:c>
      <x:c r="D220" s="16" t="str">
        <x:v>ClickUp task evidence, implementation output, QA notes, screenshots, tests, or manuscript updates for Document audit log interface in Chapter 4.</x:v>
      </x:c>
      <x:c r="E220" s="18" t="n">
        <x:v>0.0013611111111111111</x:v>
      </x:c>
      <x:c r="F220" s="16" t="str">
        <x:v>planning/backlog</x:v>
      </x:c>
      <x:c r="G220" s="17" t="b">
        <x:v>0</x:v>
      </x:c>
      <x:c r="H220" s="16" t="str">
        <x:v>https://app.clickup.com/t/86d390454</x:v>
      </x:c>
    </x:row>
    <x:row r="221">
      <x:c r="A221" s="26" t="str">
        <x:v>Total Accomplished</x:v>
      </x:c>
      <x:c r="B221" s="26" t="str"/>
      <x:c r="C221" s="26" t="str"/>
      <x:c r="D221" s="26" t="str"/>
      <x:c r="E221" s="27" t="n">
        <x:f>SUM(E212:E220)</x:f>
        <x:v>0.012250000000000002</x:v>
      </x:c>
      <x:c r="F221" s="27" t="str"/>
      <x:c r="G221" s="27" t="n">
        <x:f>SUMIF(G212:G220, TRUE, E212:E220)</x:f>
        <x:v>0</x:v>
      </x:c>
      <x:c r="H221" s="26" t="str"/>
    </x:row>
    <x:row r="223">
      <x:c r="A223" s="4" t="str">
        <x:v>Task ID</x:v>
      </x:c>
      <x:c r="B223" s="4" t="str">
        <x:v>ADMIN</x:v>
      </x:c>
      <x:c r="C223" s="4" t="str">
        <x:v>Task Name</x:v>
      </x:c>
      <x:c r="D223" s="4" t="str">
        <x:v>Admin Management Interface</x:v>
      </x:c>
      <x:c r="E223" s="4" t="str"/>
      <x:c r="F223" s="4" t="str">
        <x:v>for qa / internal testing</x:v>
      </x:c>
      <x:c r="G223" s="4" t="str"/>
      <x:c r="H223" s="4" t="str">
        <x:v>https://app.clickup.com/t/86d38tgy3</x:v>
      </x:c>
    </x:row>
    <x:row r="224">
      <x:c r="A224" s="8" t="str">
        <x:v>Subtask ID</x:v>
      </x:c>
      <x:c r="B224" s="8" t="str">
        <x:v>Subtask / Task Name</x:v>
      </x:c>
      <x:c r="C224" s="8" t="str">
        <x:v>Acceptance Criteria</x:v>
      </x:c>
      <x:c r="D224" s="8" t="str">
        <x:v>Evidence / Deliverable</x:v>
      </x:c>
      <x:c r="E224" s="8" t="str">
        <x:v>Weight Allocation</x:v>
      </x:c>
      <x:c r="F224" s="8" t="str">
        <x:v>ClickUp Status</x:v>
      </x:c>
      <x:c r="G224" s="8" t="str">
        <x:v>Accepted</x:v>
      </x:c>
      <x:c r="H224" s="8" t="str">
        <x:v>ClickUp URL</x:v>
      </x:c>
    </x:row>
    <x:row r="225">
      <x:c r="A225" s="16" t="str">
        <x:v>REQ-01</x:v>
      </x:c>
      <x:c r="B225" s="16" t="str">
        <x:v>Define admin management requirements</x:v>
      </x:c>
      <x:c r="C225" s="16" t="str">
        <x:v>Given the PAULUS Define admin management requirements task is implemented, the feature should meet the approved capstone requirements and pass review against its expected behavior.</x:v>
      </x:c>
      <x:c r="D225" s="16" t="str">
        <x:v>ClickUp task evidence, implementation output, QA notes, screenshots, tests, or manuscript updates for Define admin management requirements.</x:v>
      </x:c>
      <x:c r="E225" s="18" t="n">
        <x:v>0.0013611111111111111</x:v>
      </x:c>
      <x:c r="F225" s="16" t="str">
        <x:v>planning/backlog</x:v>
      </x:c>
      <x:c r="G225" s="17" t="b">
        <x:v>0</x:v>
      </x:c>
      <x:c r="H225" s="16" t="str">
        <x:v>https://app.clickup.com/t/86d390337</x:v>
      </x:c>
    </x:row>
    <x:row r="226">
      <x:c r="A226" s="16" t="str">
        <x:v>DES-01</x:v>
      </x:c>
      <x:c r="B226" s="16" t="str">
        <x:v>Design admin management interface</x:v>
      </x:c>
      <x:c r="C226" s="16" t="str">
        <x:v>Given the PAULUS Design admin management interface task is implemented, the feature should meet the approved capstone requirements and pass review against its expected behavior.</x:v>
      </x:c>
      <x:c r="D226" s="16" t="str">
        <x:v>ClickUp task evidence, implementation output, QA notes, screenshots, tests, or manuscript updates for Design admin management interface.</x:v>
      </x:c>
      <x:c r="E226" s="18" t="n">
        <x:v>0.0013611111111111111</x:v>
      </x:c>
      <x:c r="F226" s="16" t="str">
        <x:v>planning/backlog</x:v>
      </x:c>
      <x:c r="G226" s="17" t="b">
        <x:v>0</x:v>
      </x:c>
      <x:c r="H226" s="16" t="str">
        <x:v>https://app.clickup.com/t/86d390344</x:v>
      </x:c>
    </x:row>
    <x:row r="227">
      <x:c r="A227" s="16" t="str">
        <x:v>DEV-01</x:v>
      </x:c>
      <x:c r="B227" s="16" t="str">
        <x:v>Build user management page</x:v>
      </x:c>
      <x:c r="C227" s="16" t="str">
        <x:v>Given the PAULUS Build user management page task is implemented, the feature should meet the approved capstone requirements and pass review against its expected behavior.</x:v>
      </x:c>
      <x:c r="D227" s="16" t="str">
        <x:v>ClickUp task evidence, implementation output, QA notes, screenshots, tests, or manuscript updates for Build user management page.</x:v>
      </x:c>
      <x:c r="E227" s="18" t="n">
        <x:v>0.0013611111111111111</x:v>
      </x:c>
      <x:c r="F227" s="16" t="str">
        <x:v>planning/backlog</x:v>
      </x:c>
      <x:c r="G227" s="17" t="b">
        <x:v>0</x:v>
      </x:c>
      <x:c r="H227" s="16" t="str">
        <x:v>https://app.clickup.com/t/86d39034u</x:v>
      </x:c>
    </x:row>
    <x:row r="228">
      <x:c r="A228" s="16" t="str">
        <x:v>DEV-02</x:v>
      </x:c>
      <x:c r="B228" s="16" t="str">
        <x:v>Build role and permission management page</x:v>
      </x:c>
      <x:c r="C228" s="16" t="str">
        <x:v>Given the PAULUS Build role and permission management page task is implemented, the feature should meet the approved capstone requirements and pass review against its expected behavior.</x:v>
      </x:c>
      <x:c r="D228" s="16" t="str">
        <x:v>ClickUp task evidence, implementation output, QA notes, screenshots, tests, or manuscript updates for Build role and permission management page.</x:v>
      </x:c>
      <x:c r="E228" s="18" t="n">
        <x:v>0.0013611111111111111</x:v>
      </x:c>
      <x:c r="F228" s="16" t="str">
        <x:v>planning/backlog</x:v>
      </x:c>
      <x:c r="G228" s="17" t="b">
        <x:v>0</x:v>
      </x:c>
      <x:c r="H228" s="16" t="str">
        <x:v>https://app.clickup.com/t/86d39035y</x:v>
      </x:c>
    </x:row>
    <x:row r="229">
      <x:c r="A229" s="16" t="str">
        <x:v>DEV-03</x:v>
      </x:c>
      <x:c r="B229" s="16" t="str">
        <x:v>Connect admin interface to backend APIs</x:v>
      </x:c>
      <x:c r="C229" s="16" t="str">
        <x:v>Given the PAULUS Connect admin interface to backend APIs task is implemented, the feature should meet the approved capstone requirements and pass review against its expected behavior.</x:v>
      </x:c>
      <x:c r="D229" s="16" t="str">
        <x:v>ClickUp task evidence, implementation output, QA notes, screenshots, tests, or manuscript updates for Connect admin interface to backend APIs.</x:v>
      </x:c>
      <x:c r="E229" s="18" t="n">
        <x:v>0.0013611111111111111</x:v>
      </x:c>
      <x:c r="F229" s="16" t="str">
        <x:v>planning/backlog</x:v>
      </x:c>
      <x:c r="G229" s="17" t="b">
        <x:v>0</x:v>
      </x:c>
      <x:c r="H229" s="16" t="str">
        <x:v>https://app.clickup.com/t/86d39036k</x:v>
      </x:c>
    </x:row>
    <x:row r="230">
      <x:c r="A230" s="16" t="str">
        <x:v>TEST-01</x:v>
      </x:c>
      <x:c r="B230" s="16" t="str">
        <x:v>Test admin management actions</x:v>
      </x:c>
      <x:c r="C230" s="16" t="str">
        <x:v>Given the PAULUS Test admin management actions task is implemented, the feature should meet the approved capstone requirements and pass review against its expected behavior.</x:v>
      </x:c>
      <x:c r="D230" s="16" t="str">
        <x:v>ClickUp task evidence, implementation output, QA notes, screenshots, tests, or manuscript updates for Test admin management actions.</x:v>
      </x:c>
      <x:c r="E230" s="18" t="n">
        <x:v>0.0013611111111111111</x:v>
      </x:c>
      <x:c r="F230" s="16" t="str">
        <x:v>planning/backlog</x:v>
      </x:c>
      <x:c r="G230" s="17" t="b">
        <x:v>0</x:v>
      </x:c>
      <x:c r="H230" s="16" t="str">
        <x:v>https://app.clickup.com/t/86d39037j</x:v>
      </x:c>
    </x:row>
    <x:row r="231">
      <x:c r="A231" s="16" t="str">
        <x:v>FIX-01</x:v>
      </x:c>
      <x:c r="B231" s="16" t="str">
        <x:v>Resolve admin interface and permission issues</x:v>
      </x:c>
      <x:c r="C231" s="16" t="str">
        <x:v>Given the PAULUS Resolve admin interface and permission issues task is implemented, the feature should meet the approved capstone requirements and pass review against its expected behavior.</x:v>
      </x:c>
      <x:c r="D231" s="16" t="str">
        <x:v>ClickUp task evidence, implementation output, QA notes, screenshots, tests, or manuscript updates for Resolve admin interface and permission issues.</x:v>
      </x:c>
      <x:c r="E231" s="18" t="n">
        <x:v>0.0013611111111111111</x:v>
      </x:c>
      <x:c r="F231" s="16" t="str">
        <x:v>planning/backlog</x:v>
      </x:c>
      <x:c r="G231" s="17" t="b">
        <x:v>0</x:v>
      </x:c>
      <x:c r="H231" s="16" t="str">
        <x:v>https://app.clickup.com/t/86d390397</x:v>
      </x:c>
    </x:row>
    <x:row r="232">
      <x:c r="A232" s="16" t="str">
        <x:v>UAT-01</x:v>
      </x:c>
      <x:c r="B232" s="16" t="str">
        <x:v>Validate admin management with authorized users</x:v>
      </x:c>
      <x:c r="C232" s="16" t="str">
        <x:v>Given the PAULUS Validate admin management with authorized users task is implemented, the feature should meet the approved capstone requirements and pass review against its expected behavior.</x:v>
      </x:c>
      <x:c r="D232" s="16" t="str">
        <x:v>ClickUp task evidence, implementation output, QA notes, screenshots, tests, or manuscript updates for Validate admin management with authorized users.</x:v>
      </x:c>
      <x:c r="E232" s="18" t="n">
        <x:v>0.0013611111111111111</x:v>
      </x:c>
      <x:c r="F232" s="16" t="str">
        <x:v>planning/backlog</x:v>
      </x:c>
      <x:c r="G232" s="17" t="b">
        <x:v>0</x:v>
      </x:c>
      <x:c r="H232" s="16" t="str">
        <x:v>https://app.clickup.com/t/86d3903ax</x:v>
      </x:c>
    </x:row>
    <x:row r="233">
      <x:c r="A233" s="16" t="str">
        <x:v>MS-01</x:v>
      </x:c>
      <x:c r="B233" s="16" t="str">
        <x:v>Document admin management module</x:v>
      </x:c>
      <x:c r="C233" s="16" t="str">
        <x:v>Given the PAULUS Document admin management module task is implemented, the feature should meet the approved capstone requirements and pass review against its expected behavior.</x:v>
      </x:c>
      <x:c r="D233" s="16" t="str">
        <x:v>ClickUp task evidence, implementation output, QA notes, screenshots, tests, or manuscript updates for Document admin management module.</x:v>
      </x:c>
      <x:c r="E233" s="18" t="n">
        <x:v>0.0013611111111111111</x:v>
      </x:c>
      <x:c r="F233" s="16" t="str">
        <x:v>planning/backlog</x:v>
      </x:c>
      <x:c r="G233" s="17" t="b">
        <x:v>0</x:v>
      </x:c>
      <x:c r="H233" s="16" t="str">
        <x:v>https://app.clickup.com/t/86d3903cy</x:v>
      </x:c>
    </x:row>
    <x:row r="234">
      <x:c r="A234" s="26" t="str">
        <x:v>Total Accomplished</x:v>
      </x:c>
      <x:c r="B234" s="26" t="str"/>
      <x:c r="C234" s="26" t="str"/>
      <x:c r="D234" s="26" t="str"/>
      <x:c r="E234" s="27" t="n">
        <x:f>SUM(E225:E233)</x:f>
        <x:v>0.012250000000000002</x:v>
      </x:c>
      <x:c r="F234" s="27" t="str"/>
      <x:c r="G234" s="27" t="n">
        <x:f>SUMIF(G225:G233, TRUE, E225:E233)</x:f>
        <x:v>0</x:v>
      </x:c>
      <x:c r="H234" s="26" t="str"/>
    </x:row>
    <x:row r="236">
      <x:c r="A236" s="4" t="str">
        <x:v>Task ID</x:v>
      </x:c>
      <x:c r="B236" s="4" t="str">
        <x:v>ARCHIVES</x:v>
      </x:c>
      <x:c r="C236" s="4" t="str">
        <x:v>Task Name</x:v>
      </x:c>
      <x:c r="D236" s="4" t="str">
        <x:v>Archives Page / Archive Management</x:v>
      </x:c>
      <x:c r="E236" s="4" t="str"/>
      <x:c r="F236" s="4" t="str">
        <x:v>planning/backlog</x:v>
      </x:c>
      <x:c r="G236" s="4" t="str"/>
      <x:c r="H236" s="4" t="str">
        <x:v>https://app.clickup.com/t/86d3bw6jy</x:v>
      </x:c>
    </x:row>
    <x:row r="237">
      <x:c r="A237" s="8" t="str">
        <x:v>Subtask ID</x:v>
      </x:c>
      <x:c r="B237" s="8" t="str">
        <x:v>Subtask / Task Name</x:v>
      </x:c>
      <x:c r="C237" s="8" t="str">
        <x:v>Acceptance Criteria</x:v>
      </x:c>
      <x:c r="D237" s="8" t="str">
        <x:v>Evidence / Deliverable</x:v>
      </x:c>
      <x:c r="E237" s="8" t="str">
        <x:v>Weight Allocation</x:v>
      </x:c>
      <x:c r="F237" s="8" t="str">
        <x:v>ClickUp Status</x:v>
      </x:c>
      <x:c r="G237" s="8" t="str">
        <x:v>Accepted</x:v>
      </x:c>
      <x:c r="H237" s="8" t="str">
        <x:v>ClickUp URL</x:v>
      </x:c>
    </x:row>
    <x:row r="238">
      <x:c r="A238" s="16" t="str">
        <x:v>REQ-01</x:v>
      </x:c>
      <x:c r="B238" s="16" t="str">
        <x:v>Define archive UI requirements</x:v>
      </x:c>
      <x:c r="C238" s="16" t="str">
        <x:v>Given the PAULUS Define archive UI requirements task is implemented, the feature should meet the approved capstone requirements and pass review against its expected behavior.</x:v>
      </x:c>
      <x:c r="D238" s="16" t="str">
        <x:v>ClickUp task evidence, implementation output, QA notes, screenshots, tests, or manuscript updates for Define archive UI requirements.</x:v>
      </x:c>
      <x:c r="E238" s="18" t="n">
        <x:v>0.00175</x:v>
      </x:c>
      <x:c r="F238" s="16" t="str">
        <x:v>planning/backlog</x:v>
      </x:c>
      <x:c r="G238" s="17" t="b">
        <x:v>0</x:v>
      </x:c>
      <x:c r="H238" s="16" t="str">
        <x:v>https://app.clickup.com/t/86d3bwq4v</x:v>
      </x:c>
    </x:row>
    <x:row r="239">
      <x:c r="A239" s="16" t="str">
        <x:v>DES-01</x:v>
      </x:c>
      <x:c r="B239" s="16" t="str">
        <x:v>Design archive listing and restore workflow</x:v>
      </x:c>
      <x:c r="C239" s="16" t="str">
        <x:v>Given the PAULUS Design archive listing and restore workflow task is implemented, the feature should meet the approved capstone requirements and pass review against its expected behavior.</x:v>
      </x:c>
      <x:c r="D239" s="16" t="str">
        <x:v>ClickUp task evidence, implementation output, QA notes, screenshots, tests, or manuscript updates for Design archive listing and restore workflow.</x:v>
      </x:c>
      <x:c r="E239" s="18" t="n">
        <x:v>0.00175</x:v>
      </x:c>
      <x:c r="F239" s="16" t="str">
        <x:v>planning/backlog</x:v>
      </x:c>
      <x:c r="G239" s="17" t="b">
        <x:v>0</x:v>
      </x:c>
      <x:c r="H239" s="16" t="str">
        <x:v>https://app.clickup.com/t/86d3bwq5p</x:v>
      </x:c>
    </x:row>
    <x:row r="240">
      <x:c r="A240" s="16" t="str">
        <x:v>DEV-01</x:v>
      </x:c>
      <x:c r="B240" s="16" t="str">
        <x:v>Build archive listing and restore controls</x:v>
      </x:c>
      <x:c r="C240" s="16" t="str">
        <x:v>Given the PAULUS Build archive listing and restore controls task is implemented, the feature should meet the approved capstone requirements and pass review against its expected behavior.</x:v>
      </x:c>
      <x:c r="D240" s="16" t="str">
        <x:v>ClickUp task evidence, implementation output, QA notes, screenshots, tests, or manuscript updates for Build archive listing and restore controls.</x:v>
      </x:c>
      <x:c r="E240" s="18" t="n">
        <x:v>0.00175</x:v>
      </x:c>
      <x:c r="F240" s="16" t="str">
        <x:v>planning/backlog</x:v>
      </x:c>
      <x:c r="G240" s="17" t="b">
        <x:v>0</x:v>
      </x:c>
      <x:c r="H240" s="16" t="str">
        <x:v>https://app.clickup.com/t/86d3bwq62</x:v>
      </x:c>
    </x:row>
    <x:row r="241">
      <x:c r="A241" s="16" t="str">
        <x:v>TEST-01</x:v>
      </x:c>
      <x:c r="B241" s="16" t="str">
        <x:v>Test archive and restore workflows for supported records</x:v>
      </x:c>
      <x:c r="C241" s="16" t="str">
        <x:v>Given the PAULUS Test archive and restore workflows for supported records task is implemented, the feature should meet the approved capstone requirements and pass review against its expected behavior.</x:v>
      </x:c>
      <x:c r="D241" s="16" t="str">
        <x:v>ClickUp task evidence, implementation output, QA notes, screenshots, tests, or manuscript updates for Test archive and restore workflows for supported records.</x:v>
      </x:c>
      <x:c r="E241" s="18" t="n">
        <x:v>0.00175</x:v>
      </x:c>
      <x:c r="F241" s="16" t="str">
        <x:v>planning/backlog</x:v>
      </x:c>
      <x:c r="G241" s="17" t="b">
        <x:v>0</x:v>
      </x:c>
      <x:c r="H241" s="16" t="str">
        <x:v>https://app.clickup.com/t/86d3bwq6h</x:v>
      </x:c>
    </x:row>
    <x:row r="242">
      <x:c r="A242" s="16" t="str">
        <x:v>FIX-01</x:v>
      </x:c>
      <x:c r="B242" s="16" t="str">
        <x:v>Resolve archive management UI issues</x:v>
      </x:c>
      <x:c r="C242" s="16" t="str">
        <x:v>Given the PAULUS Resolve archive management UI issues task is implemented, the feature should meet the approved capstone requirements and pass review against its expected behavior.</x:v>
      </x:c>
      <x:c r="D242" s="16" t="str">
        <x:v>ClickUp task evidence, implementation output, QA notes, screenshots, tests, or manuscript updates for Resolve archive management UI issues.</x:v>
      </x:c>
      <x:c r="E242" s="18" t="n">
        <x:v>0.00175</x:v>
      </x:c>
      <x:c r="F242" s="16" t="str">
        <x:v>planning/backlog</x:v>
      </x:c>
      <x:c r="G242" s="17" t="b">
        <x:v>0</x:v>
      </x:c>
      <x:c r="H242" s="16" t="str">
        <x:v>https://app.clickup.com/t/86d3bwq84</x:v>
      </x:c>
    </x:row>
    <x:row r="243">
      <x:c r="A243" s="16" t="str">
        <x:v>UAT-01</x:v>
      </x:c>
      <x:c r="B243" s="16" t="str">
        <x:v>Validate archive workflows with target users</x:v>
      </x:c>
      <x:c r="C243" s="16" t="str">
        <x:v>Given the PAULUS Validate archive workflows with target users task is implemented, the feature should meet the approved capstone requirements and pass review against its expected behavior.</x:v>
      </x:c>
      <x:c r="D243" s="16" t="str">
        <x:v>ClickUp task evidence, implementation output, QA notes, screenshots, tests, or manuscript updates for Validate archive workflows with target users.</x:v>
      </x:c>
      <x:c r="E243" s="18" t="n">
        <x:v>0.00175</x:v>
      </x:c>
      <x:c r="F243" s="16" t="str">
        <x:v>planning/backlog</x:v>
      </x:c>
      <x:c r="G243" s="17" t="b">
        <x:v>0</x:v>
      </x:c>
      <x:c r="H243" s="16" t="str">
        <x:v>https://app.clickup.com/t/86d3bwq8u</x:v>
      </x:c>
    </x:row>
    <x:row r="244">
      <x:c r="A244" s="16" t="str">
        <x:v>MS-01</x:v>
      </x:c>
      <x:c r="B244" s="16" t="str">
        <x:v>Document archive management feature in Chapter 4</x:v>
      </x:c>
      <x:c r="C244" s="16" t="str">
        <x:v>Given the PAULUS Document archive management feature in Chapter 4 task is implemented, the feature should meet the approved capstone requirements and pass review against its expected behavior.</x:v>
      </x:c>
      <x:c r="D244" s="16" t="str">
        <x:v>ClickUp task evidence, implementation output, QA notes, screenshots, tests, or manuscript updates for Document archive management feature in Chapter 4.</x:v>
      </x:c>
      <x:c r="E244" s="18" t="n">
        <x:v>0.00175</x:v>
      </x:c>
      <x:c r="F244" s="16" t="str">
        <x:v>planning/backlog</x:v>
      </x:c>
      <x:c r="G244" s="17" t="b">
        <x:v>0</x:v>
      </x:c>
      <x:c r="H244" s="16" t="str">
        <x:v>https://app.clickup.com/t/86d3bwq9e</x:v>
      </x:c>
    </x:row>
    <x:row r="245">
      <x:c r="A245" s="26" t="str">
        <x:v>Total Accomplished</x:v>
      </x:c>
      <x:c r="B245" s="26" t="str"/>
      <x:c r="C245" s="26" t="str"/>
      <x:c r="D245" s="26" t="str"/>
      <x:c r="E245" s="27" t="n">
        <x:f>SUM(E238:E244)</x:f>
        <x:v>0.01225</x:v>
      </x:c>
      <x:c r="F245" s="27" t="str"/>
      <x:c r="G245" s="27" t="n">
        <x:f>SUMIF(G238:G244, TRUE, E238:E244)</x:f>
        <x:v>0</x:v>
      </x:c>
      <x:c r="H245" s="26" t="str"/>
    </x:row>
    <x:row r="248">
      <x:c r="A248" s="34" t="str">
        <x:v>Module Accomplishment</x:v>
      </x:c>
      <x:c r="B248" s="34" t="str">
        <x:v>MOD-FE</x:v>
      </x:c>
      <x:c r="C248" s="34" t="str">
        <x:v>Frontend User Interface</x:v>
      </x:c>
      <x:c r="D248" s="34" t="str"/>
      <x:c r="E248" s="35" t="n">
        <x:v>0.245</x:v>
      </x:c>
      <x:c r="F248" s="35" t="str"/>
      <x:c r="G248" s="35" t="n">
        <x:f>SUM('MOD-FE'!G11,'MOD-FE'!G25,'MOD-FE'!G36,'MOD-FE'!G49,'MOD-FE'!G60,'MOD-FE'!G71,'MOD-FE'!G82,'MOD-FE'!G95,'MOD-FE'!G108,'MOD-FE'!G121,'MOD-FE'!G132,'MOD-FE'!G145,'MOD-FE'!G160,'MOD-FE'!G173,'MOD-FE'!G184,'MOD-FE'!G195,'MOD-FE'!G208,'MOD-FE'!G221,'MOD-FE'!G234,'MOD-FE'!G245)</x:f>
        <x:v>0</x:v>
      </x:c>
      <x:c r="H248" s="34" t="str"/>
    </x:row>
  </x:sheetData>
  <x:dataValidations count="20">
    <x:dataValidation type="list" sqref="G3:G10">
      <x:formula1>"TRUE,FALSE"</x:formula1>
    </x:dataValidation>
    <x:dataValidation type="list" sqref="G15:G24">
      <x:formula1>"TRUE,FALSE"</x:formula1>
    </x:dataValidation>
    <x:dataValidation type="list" sqref="G29:G35">
      <x:formula1>"TRUE,FALSE"</x:formula1>
    </x:dataValidation>
    <x:dataValidation type="list" sqref="G40:G48">
      <x:formula1>"TRUE,FALSE"</x:formula1>
    </x:dataValidation>
    <x:dataValidation type="list" sqref="G53:G59">
      <x:formula1>"TRUE,FALSE"</x:formula1>
    </x:dataValidation>
    <x:dataValidation type="list" sqref="G64:G70">
      <x:formula1>"TRUE,FALSE"</x:formula1>
    </x:dataValidation>
    <x:dataValidation type="list" sqref="G75:G81">
      <x:formula1>"TRUE,FALSE"</x:formula1>
    </x:dataValidation>
    <x:dataValidation type="list" sqref="G86:G94">
      <x:formula1>"TRUE,FALSE"</x:formula1>
    </x:dataValidation>
    <x:dataValidation type="list" sqref="G99:G107">
      <x:formula1>"TRUE,FALSE"</x:formula1>
    </x:dataValidation>
    <x:dataValidation type="list" sqref="G112:G120">
      <x:formula1>"TRUE,FALSE"</x:formula1>
    </x:dataValidation>
    <x:dataValidation type="list" sqref="G125:G131">
      <x:formula1>"TRUE,FALSE"</x:formula1>
    </x:dataValidation>
    <x:dataValidation type="list" sqref="G136:G144">
      <x:formula1>"TRUE,FALSE"</x:formula1>
    </x:dataValidation>
    <x:dataValidation type="list" sqref="G149:G159">
      <x:formula1>"TRUE,FALSE"</x:formula1>
    </x:dataValidation>
    <x:dataValidation type="list" sqref="G164:G172">
      <x:formula1>"TRUE,FALSE"</x:formula1>
    </x:dataValidation>
    <x:dataValidation type="list" sqref="G177:G183">
      <x:formula1>"TRUE,FALSE"</x:formula1>
    </x:dataValidation>
    <x:dataValidation type="list" sqref="G188:G194">
      <x:formula1>"TRUE,FALSE"</x:formula1>
    </x:dataValidation>
    <x:dataValidation type="list" sqref="G199:G207">
      <x:formula1>"TRUE,FALSE"</x:formula1>
    </x:dataValidation>
    <x:dataValidation type="list" sqref="G212:G220">
      <x:formula1>"TRUE,FALSE"</x:formula1>
    </x:dataValidation>
    <x:dataValidation type="list" sqref="G225:G233">
      <x:formula1>"TRUE,FALSE"</x:formula1>
    </x:dataValidation>
    <x:dataValidation type="list" sqref="G238:G244">
      <x:formula1>"TRUE,FALSE"</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32.5" hidden="0" customWidth="1"/>
    <x:col min="3" max="3" width="47.5" hidden="0" customWidth="1"/>
    <x:col min="4" max="4" width="42.5" hidden="0" customWidth="1"/>
    <x:col min="5" max="5" width="15" hidden="0" customWidth="1"/>
    <x:col min="6" max="6" width="16.8799991607666" hidden="0" customWidth="1"/>
    <x:col min="7" max="7" width="16.8799991607666" hidden="0" customWidth="1"/>
    <x:col min="8" max="8" width="28.75" hidden="0" customWidth="1"/>
  </x:cols>
  <x:sheetData>
    <x:row r="1">
      <x:c r="A1" s="4" t="str">
        <x:v>Task ID</x:v>
      </x:c>
      <x:c r="B1" s="4" t="str">
        <x:v>AUTH</x:v>
      </x:c>
      <x:c r="C1" s="4" t="str">
        <x:v>Task Name</x:v>
      </x:c>
      <x:c r="D1" s="4" t="str">
        <x:v>Authentication and Role Access API</x:v>
      </x:c>
      <x:c r="E1" s="4" t="str"/>
      <x:c r="F1" s="4" t="str">
        <x:v>in progress</x:v>
      </x:c>
      <x:c r="G1" s="4" t="str"/>
      <x:c r="H1" s="4" t="str">
        <x:v>https://app.clickup.com/t/86d38tft1</x:v>
      </x:c>
    </x:row>
    <x:row r="2">
      <x:c r="A2" s="8" t="str">
        <x:v>Subtask ID</x:v>
      </x:c>
      <x:c r="B2" s="8" t="str">
        <x:v>Subtask / Task Name</x:v>
      </x:c>
      <x:c r="C2" s="8" t="str">
        <x:v>Acceptance Criteria</x:v>
      </x:c>
      <x:c r="D2" s="8" t="str">
        <x:v>Evidence / Deliverable</x:v>
      </x:c>
      <x:c r="E2" s="8" t="str">
        <x:v>Weight Allocation</x:v>
      </x:c>
      <x:c r="F2" s="8" t="str">
        <x:v>ClickUp Status</x:v>
      </x:c>
      <x:c r="G2" s="8" t="str">
        <x:v>Accepted</x:v>
      </x:c>
      <x:c r="H2" s="8" t="str">
        <x:v>ClickUp URL</x:v>
      </x:c>
    </x:row>
    <x:row r="3">
      <x:c r="A3" s="16" t="str">
        <x:v>REQ-01</x:v>
      </x:c>
      <x:c r="B3" s="16" t="str">
        <x:v>Define authentication and role access requirements</x:v>
      </x:c>
      <x:c r="C3" s="16" t="str">
        <x:v>Given the PAULUS Define authentication and role access requirements task is implemented, the feature should meet the approved capstone requirements and pass review against its expected behavior.</x:v>
      </x:c>
      <x:c r="D3" s="16" t="str">
        <x:v>ClickUp task evidence, implementation output, QA notes, screenshots, tests, or manuscript updates for Define authentication and role access requirements.</x:v>
      </x:c>
      <x:c r="E3" s="18" t="n">
        <x:v>0.0016319444444444443</x:v>
      </x:c>
      <x:c r="F3" s="16" t="str">
        <x:v>planning/backlog</x:v>
      </x:c>
      <x:c r="G3" s="17" t="b">
        <x:v>0</x:v>
      </x:c>
      <x:c r="H3" s="16" t="str">
        <x:v>https://app.clickup.com/t/86d3901rz</x:v>
      </x:c>
    </x:row>
    <x:row r="4">
      <x:c r="A4" s="16" t="str">
        <x:v>DES-01</x:v>
      </x:c>
      <x:c r="B4" s="16" t="str">
        <x:v>Create authentication flow diagram</x:v>
      </x:c>
      <x:c r="C4" s="16" t="str">
        <x:v>Given the PAULUS Create authentication flow diagram task is implemented, the feature should meet the approved capstone requirements and pass review against its expected behavior.</x:v>
      </x:c>
      <x:c r="D4" s="16" t="str">
        <x:v>ClickUp task evidence, implementation output, QA notes, screenshots, tests, or manuscript updates for Create authentication flow diagram.</x:v>
      </x:c>
      <x:c r="E4" s="18" t="n">
        <x:v>0.0016319444444444443</x:v>
      </x:c>
      <x:c r="F4" s="16" t="str">
        <x:v>planning/backlog</x:v>
      </x:c>
      <x:c r="G4" s="17" t="b">
        <x:v>0</x:v>
      </x:c>
      <x:c r="H4" s="16" t="str">
        <x:v>https://app.clickup.com/t/86d3901tv</x:v>
      </x:c>
    </x:row>
    <x:row r="5">
      <x:c r="A5" s="16" t="str">
        <x:v>DEV-01</x:v>
      </x:c>
      <x:c r="B5" s="16" t="str">
        <x:v>Implement login endpoint</x:v>
      </x:c>
      <x:c r="C5" s="16" t="str">
        <x:v>Given the PAULUS Implement login endpoint task is implemented, the feature should meet the approved capstone requirements and pass review against its expected behavior.</x:v>
      </x:c>
      <x:c r="D5" s="16" t="str">
        <x:v>ClickUp task evidence, implementation output, QA notes, screenshots, tests, or manuscript updates for Implement login endpoint.</x:v>
      </x:c>
      <x:c r="E5" s="18" t="n">
        <x:v>0.0016319444444444443</x:v>
      </x:c>
      <x:c r="F5" s="16" t="str">
        <x:v>planning/backlog</x:v>
      </x:c>
      <x:c r="G5" s="17" t="b">
        <x:v>0</x:v>
      </x:c>
      <x:c r="H5" s="16" t="str">
        <x:v>https://app.clickup.com/t/86d3901up</x:v>
      </x:c>
    </x:row>
    <x:row r="6">
      <x:c r="A6" s="16" t="str">
        <x:v>DEV-02</x:v>
      </x:c>
      <x:c r="B6" s="16" t="str">
        <x:v>Implement logout and session handling</x:v>
      </x:c>
      <x:c r="C6" s="16" t="str">
        <x:v>Given the PAULUS Implement logout and session handling task is implemented, the feature should meet the approved capstone requirements and pass review against its expected behavior.</x:v>
      </x:c>
      <x:c r="D6" s="16" t="str">
        <x:v>ClickUp task evidence, implementation output, QA notes, screenshots, tests, or manuscript updates for Implement logout and session handling.</x:v>
      </x:c>
      <x:c r="E6" s="18" t="n">
        <x:v>0.0016319444444444443</x:v>
      </x:c>
      <x:c r="F6" s="16" t="str">
        <x:v>planning/backlog</x:v>
      </x:c>
      <x:c r="G6" s="17" t="b">
        <x:v>0</x:v>
      </x:c>
      <x:c r="H6" s="16" t="str">
        <x:v>https://app.clickup.com/t/86d3901vx</x:v>
      </x:c>
    </x:row>
    <x:row r="7">
      <x:c r="A7" s="16" t="str">
        <x:v>DEV-03</x:v>
      </x:c>
      <x:c r="B7" s="16" t="str">
        <x:v>Implement role-based access control</x:v>
      </x:c>
      <x:c r="C7" s="16" t="str">
        <x:v>Given the PAULUS Implement role-based access control task is implemented, the feature should meet the approved capstone requirements and pass review against its expected behavior.</x:v>
      </x:c>
      <x:c r="D7" s="16" t="str">
        <x:v>ClickUp task evidence, implementation output, QA notes, screenshots, tests, or manuscript updates for Implement role-based access control.</x:v>
      </x:c>
      <x:c r="E7" s="18" t="n">
        <x:v>0.0016319444444444443</x:v>
      </x:c>
      <x:c r="F7" s="16" t="str">
        <x:v>planning/backlog</x:v>
      </x:c>
      <x:c r="G7" s="17" t="b">
        <x:v>0</x:v>
      </x:c>
      <x:c r="H7" s="16" t="str">
        <x:v>https://app.clickup.com/t/86d3901ww</x:v>
      </x:c>
    </x:row>
    <x:row r="8">
      <x:c r="A8" s="16" t="str">
        <x:v>TEST-01</x:v>
      </x:c>
      <x:c r="B8" s="16" t="str">
        <x:v>Test valid and invalid authentication attempts</x:v>
      </x:c>
      <x:c r="C8" s="16" t="str">
        <x:v>Given the PAULUS Test valid and invalid authentication attempts task is implemented, the feature should meet the approved capstone requirements and pass review against its expected behavior.</x:v>
      </x:c>
      <x:c r="D8" s="16" t="str">
        <x:v>ClickUp task evidence, implementation output, QA notes, screenshots, tests, or manuscript updates for Test valid and invalid authentication attempts.</x:v>
      </x:c>
      <x:c r="E8" s="18" t="n">
        <x:v>0.0016319444444444443</x:v>
      </x:c>
      <x:c r="F8" s="16" t="str">
        <x:v>planning/backlog</x:v>
      </x:c>
      <x:c r="G8" s="17" t="b">
        <x:v>0</x:v>
      </x:c>
      <x:c r="H8" s="16" t="str">
        <x:v>https://app.clickup.com/t/86d3901xz</x:v>
      </x:c>
    </x:row>
    <x:row r="9">
      <x:c r="A9" s="16" t="str">
        <x:v>FIX-01</x:v>
      </x:c>
      <x:c r="B9" s="16" t="str">
        <x:v>Resolve authentication and session issues</x:v>
      </x:c>
      <x:c r="C9" s="16" t="str">
        <x:v>Given the PAULUS Resolve authentication and session issues task is implemented, the feature should meet the approved capstone requirements and pass review against its expected behavior.</x:v>
      </x:c>
      <x:c r="D9" s="16" t="str">
        <x:v>ClickUp task evidence, implementation output, QA notes, screenshots, tests, or manuscript updates for Resolve authentication and session issues.</x:v>
      </x:c>
      <x:c r="E9" s="18" t="n">
        <x:v>0.0016319444444444443</x:v>
      </x:c>
      <x:c r="F9" s="16" t="str">
        <x:v>planning/backlog</x:v>
      </x:c>
      <x:c r="G9" s="17" t="b">
        <x:v>0</x:v>
      </x:c>
      <x:c r="H9" s="16" t="str">
        <x:v>https://app.clickup.com/t/86d3901yk</x:v>
      </x:c>
    </x:row>
    <x:row r="10">
      <x:c r="A10" s="16" t="str">
        <x:v>UAT-01</x:v>
      </x:c>
      <x:c r="B10" s="16" t="str">
        <x:v>Validate user access based on assigned roles</x:v>
      </x:c>
      <x:c r="C10" s="16" t="str">
        <x:v>Given the PAULUS Validate user access based on assigned roles task is implemented, the feature should meet the approved capstone requirements and pass review against its expected behavior.</x:v>
      </x:c>
      <x:c r="D10" s="16" t="str">
        <x:v>ClickUp task evidence, implementation output, QA notes, screenshots, tests, or manuscript updates for Validate user access based on assigned roles.</x:v>
      </x:c>
      <x:c r="E10" s="18" t="n">
        <x:v>0.0016319444444444443</x:v>
      </x:c>
      <x:c r="F10" s="16" t="str">
        <x:v>planning/backlog</x:v>
      </x:c>
      <x:c r="G10" s="17" t="b">
        <x:v>0</x:v>
      </x:c>
      <x:c r="H10" s="16" t="str">
        <x:v>https://app.clickup.com/t/86d390202</x:v>
      </x:c>
    </x:row>
    <x:row r="11">
      <x:c r="A11" s="16" t="str">
        <x:v>MS-01</x:v>
      </x:c>
      <x:c r="B11" s="16" t="str">
        <x:v>Document authentication and role access process</x:v>
      </x:c>
      <x:c r="C11" s="16" t="str">
        <x:v>Given the PAULUS Document authentication and role access process task is implemented, the feature should meet the approved capstone requirements and pass review against its expected behavior.</x:v>
      </x:c>
      <x:c r="D11" s="16" t="str">
        <x:v>ClickUp task evidence, implementation output, QA notes, screenshots, tests, or manuscript updates for Document authentication and role access process.</x:v>
      </x:c>
      <x:c r="E11" s="18" t="n">
        <x:v>0.0016319444444444443</x:v>
      </x:c>
      <x:c r="F11" s="16" t="str">
        <x:v>planning/backlog</x:v>
      </x:c>
      <x:c r="G11" s="17" t="b">
        <x:v>0</x:v>
      </x:c>
      <x:c r="H11" s="16" t="str">
        <x:v>https://app.clickup.com/t/86d390213</x:v>
      </x:c>
    </x:row>
    <x:row r="12">
      <x:c r="A12" s="26" t="str">
        <x:v>Total Accomplished</x:v>
      </x:c>
      <x:c r="B12" s="26" t="str"/>
      <x:c r="C12" s="26" t="str"/>
      <x:c r="D12" s="26" t="str"/>
      <x:c r="E12" s="27" t="n">
        <x:f>SUM(E3:E11)</x:f>
        <x:v>0.0146875</x:v>
      </x:c>
      <x:c r="F12" s="27" t="str"/>
      <x:c r="G12" s="27" t="n">
        <x:f>SUMIF(G3:G11, TRUE, E3:E11)</x:f>
        <x:v>0</x:v>
      </x:c>
      <x:c r="H12" s="26" t="str"/>
    </x:row>
    <x:row r="14">
      <x:c r="A14" s="4" t="str">
        <x:v>Task ID</x:v>
      </x:c>
      <x:c r="B14" s="4" t="str">
        <x:v>INSTAPI</x:v>
      </x:c>
      <x:c r="C14" s="4" t="str">
        <x:v>Task Name</x:v>
      </x:c>
      <x:c r="D14" s="4" t="str">
        <x:v>Institution Management API</x:v>
      </x:c>
      <x:c r="E14" s="4" t="str"/>
      <x:c r="F14" s="4" t="str">
        <x:v>for qa / internal testing</x:v>
      </x:c>
      <x:c r="G14" s="4" t="str"/>
      <x:c r="H14" s="4" t="str">
        <x:v>https://app.clickup.com/t/86d38tfth</x:v>
      </x:c>
    </x:row>
    <x:row r="15">
      <x:c r="A15" s="8" t="str">
        <x:v>Subtask ID</x:v>
      </x:c>
      <x:c r="B15" s="8" t="str">
        <x:v>Subtask / Task Name</x:v>
      </x:c>
      <x:c r="C15" s="8" t="str">
        <x:v>Acceptance Criteria</x:v>
      </x:c>
      <x:c r="D15" s="8" t="str">
        <x:v>Evidence / Deliverable</x:v>
      </x:c>
      <x:c r="E15" s="8" t="str">
        <x:v>Weight Allocation</x:v>
      </x:c>
      <x:c r="F15" s="8" t="str">
        <x:v>ClickUp Status</x:v>
      </x:c>
      <x:c r="G15" s="8" t="str">
        <x:v>Accepted</x:v>
      </x:c>
      <x:c r="H15" s="8" t="str">
        <x:v>ClickUp URL</x:v>
      </x:c>
    </x:row>
    <x:row r="16">
      <x:c r="A16" s="16" t="str">
        <x:v>REQ-01</x:v>
      </x:c>
      <x:c r="B16" s="16" t="str">
        <x:v>Define institution API requirements</x:v>
      </x:c>
      <x:c r="C16" s="16" t="str">
        <x:v>Given the PAULUS Define institution API requirements task is implemented, the feature should meet the approved capstone requirements and pass review against its expected behavior.</x:v>
      </x:c>
      <x:c r="D16" s="16" t="str">
        <x:v>ClickUp task evidence, implementation output, QA notes, screenshots, tests, or manuscript updates for Define institution API requirements.</x:v>
      </x:c>
      <x:c r="E16" s="18" t="n">
        <x:v>0.0018359375</x:v>
      </x:c>
      <x:c r="F16" s="16" t="str">
        <x:v>planning/backlog</x:v>
      </x:c>
      <x:c r="G16" s="17" t="b">
        <x:v>0</x:v>
      </x:c>
      <x:c r="H16" s="16" t="str">
        <x:v>https://app.clickup.com/t/86d3904jd</x:v>
      </x:c>
    </x:row>
    <x:row r="17">
      <x:c r="A17" s="16" t="str">
        <x:v>DES-01</x:v>
      </x:c>
      <x:c r="B17" s="16" t="str">
        <x:v>Design institution API structure</x:v>
      </x:c>
      <x:c r="C17" s="16" t="str">
        <x:v>Given the PAULUS Design institution API structure task is implemented, the feature should meet the approved capstone requirements and pass review against its expected behavior.</x:v>
      </x:c>
      <x:c r="D17" s="16" t="str">
        <x:v>ClickUp task evidence, implementation output, QA notes, screenshots, tests, or manuscript updates for Design institution API structure.</x:v>
      </x:c>
      <x:c r="E17" s="18" t="n">
        <x:v>0.0018359375</x:v>
      </x:c>
      <x:c r="F17" s="16" t="str">
        <x:v>planning/backlog</x:v>
      </x:c>
      <x:c r="G17" s="17" t="b">
        <x:v>0</x:v>
      </x:c>
      <x:c r="H17" s="16" t="str">
        <x:v>https://app.clickup.com/t/86d3904k6</x:v>
      </x:c>
    </x:row>
    <x:row r="18">
      <x:c r="A18" s="16" t="str">
        <x:v>DEV-01</x:v>
      </x:c>
      <x:c r="B18" s="16" t="str">
        <x:v>Implement create institution endpoint</x:v>
      </x:c>
      <x:c r="C18" s="16" t="str">
        <x:v>Given the PAULUS Implement create institution endpoint task is implemented, the feature should meet the approved capstone requirements and pass review against its expected behavior.</x:v>
      </x:c>
      <x:c r="D18" s="16" t="str">
        <x:v>ClickUp task evidence, implementation output, QA notes, screenshots, tests, or manuscript updates for Implement create institution endpoint.</x:v>
      </x:c>
      <x:c r="E18" s="18" t="n">
        <x:v>0.0018359375</x:v>
      </x:c>
      <x:c r="F18" s="16" t="str">
        <x:v>planning/backlog</x:v>
      </x:c>
      <x:c r="G18" s="17" t="b">
        <x:v>0</x:v>
      </x:c>
      <x:c r="H18" s="16" t="str">
        <x:v>https://app.clickup.com/t/86d3904mc</x:v>
      </x:c>
    </x:row>
    <x:row r="19">
      <x:c r="A19" s="16" t="str">
        <x:v>DEV-02</x:v>
      </x:c>
      <x:c r="B19" s="16" t="str">
        <x:v>Implement view and update institution endpoints</x:v>
      </x:c>
      <x:c r="C19" s="16" t="str">
        <x:v>Given the PAULUS Implement view and update institution endpoints task is implemented, the feature should meet the approved capstone requirements and pass review against its expected behavior.</x:v>
      </x:c>
      <x:c r="D19" s="16" t="str">
        <x:v>ClickUp task evidence, implementation output, QA notes, screenshots, tests, or manuscript updates for Implement view and update institution endpoints.</x:v>
      </x:c>
      <x:c r="E19" s="18" t="n">
        <x:v>0.0018359375</x:v>
      </x:c>
      <x:c r="F19" s="16" t="str">
        <x:v>planning/backlog</x:v>
      </x:c>
      <x:c r="G19" s="17" t="b">
        <x:v>0</x:v>
      </x:c>
      <x:c r="H19" s="16" t="str">
        <x:v>https://app.clickup.com/t/86d3904ne</x:v>
      </x:c>
    </x:row>
    <x:row r="20">
      <x:c r="A20" s="16" t="str">
        <x:v>DEV-03</x:v>
      </x:c>
      <x:c r="B20" s="16" t="str">
        <x:v>Implement institution status and category logic</x:v>
      </x:c>
      <x:c r="C20" s="16" t="str">
        <x:v>Given the PAULUS Implement institution status and category logic task is implemented, the feature should meet the approved capstone requirements and pass review against its expected behavior.</x:v>
      </x:c>
      <x:c r="D20" s="16" t="str">
        <x:v>ClickUp task evidence, implementation output, QA notes, screenshots, tests, or manuscript updates for Implement institution status and category logic.</x:v>
      </x:c>
      <x:c r="E20" s="18" t="n">
        <x:v>0.0018359375</x:v>
      </x:c>
      <x:c r="F20" s="16" t="str">
        <x:v>planning/backlog</x:v>
      </x:c>
      <x:c r="G20" s="17" t="b">
        <x:v>0</x:v>
      </x:c>
      <x:c r="H20" s="16" t="str">
        <x:v>https://app.clickup.com/t/86d3904tc</x:v>
      </x:c>
    </x:row>
    <x:row r="21">
      <x:c r="A21" s="16" t="str">
        <x:v>TEST-01</x:v>
      </x:c>
      <x:c r="B21" s="16" t="str">
        <x:v>Test institution API requests and responses</x:v>
      </x:c>
      <x:c r="C21" s="16" t="str">
        <x:v>Given the PAULUS Test institution API requests and responses task is implemented, the feature should meet the approved capstone requirements and pass review against its expected behavior.</x:v>
      </x:c>
      <x:c r="D21" s="16" t="str">
        <x:v>ClickUp task evidence, implementation output, QA notes, screenshots, tests, or manuscript updates for Test institution API requests and responses.</x:v>
      </x:c>
      <x:c r="E21" s="18" t="n">
        <x:v>0.0018359375</x:v>
      </x:c>
      <x:c r="F21" s="16" t="str">
        <x:v>planning/backlog</x:v>
      </x:c>
      <x:c r="G21" s="17" t="b">
        <x:v>0</x:v>
      </x:c>
      <x:c r="H21" s="16" t="str">
        <x:v>https://app.clickup.com/t/86d3904vm</x:v>
      </x:c>
    </x:row>
    <x:row r="22">
      <x:c r="A22" s="16" t="str">
        <x:v>FIX-01</x:v>
      </x:c>
      <x:c r="B22" s="16" t="str">
        <x:v>Resolve institution API errors</x:v>
      </x:c>
      <x:c r="C22" s="16" t="str">
        <x:v>Given the PAULUS Resolve institution API errors task is implemented, the feature should meet the approved capstone requirements and pass review against its expected behavior.</x:v>
      </x:c>
      <x:c r="D22" s="16" t="str">
        <x:v>ClickUp task evidence, implementation output, QA notes, screenshots, tests, or manuscript updates for Resolve institution API errors.</x:v>
      </x:c>
      <x:c r="E22" s="18" t="n">
        <x:v>0.0018359375</x:v>
      </x:c>
      <x:c r="F22" s="16" t="str">
        <x:v>planning/backlog</x:v>
      </x:c>
      <x:c r="G22" s="17" t="b">
        <x:v>0</x:v>
      </x:c>
      <x:c r="H22" s="16" t="str">
        <x:v>https://app.clickup.com/t/86d3904x5</x:v>
      </x:c>
    </x:row>
    <x:row r="23">
      <x:c r="A23" s="16" t="str">
        <x:v>MS-01</x:v>
      </x:c>
      <x:c r="B23" s="16" t="str">
        <x:v>Document institution API process</x:v>
      </x:c>
      <x:c r="C23" s="16" t="str">
        <x:v>Given the PAULUS Document institution API process task is implemented, the feature should meet the approved capstone requirements and pass review against its expected behavior.</x:v>
      </x:c>
      <x:c r="D23" s="16" t="str">
        <x:v>ClickUp task evidence, implementation output, QA notes, screenshots, tests, or manuscript updates for Document institution API process.</x:v>
      </x:c>
      <x:c r="E23" s="18" t="n">
        <x:v>0.0018359375</x:v>
      </x:c>
      <x:c r="F23" s="16" t="str">
        <x:v>planning/backlog</x:v>
      </x:c>
      <x:c r="G23" s="17" t="b">
        <x:v>0</x:v>
      </x:c>
      <x:c r="H23" s="16" t="str">
        <x:v>https://app.clickup.com/t/86d3904y8</x:v>
      </x:c>
    </x:row>
    <x:row r="24">
      <x:c r="A24" s="26" t="str">
        <x:v>Total Accomplished</x:v>
      </x:c>
      <x:c r="B24" s="26" t="str"/>
      <x:c r="C24" s="26" t="str"/>
      <x:c r="D24" s="26" t="str"/>
      <x:c r="E24" s="27" t="n">
        <x:f>SUM(E16:E23)</x:f>
        <x:v>0.014687499999999996</x:v>
      </x:c>
      <x:c r="F24" s="27" t="str"/>
      <x:c r="G24" s="27" t="n">
        <x:f>SUMIF(G16:G23, TRUE, E16:E23)</x:f>
        <x:v>0</x:v>
      </x:c>
      <x:c r="H24" s="26" t="str"/>
    </x:row>
    <x:row r="26">
      <x:c r="A26" s="4" t="str">
        <x:v>Task ID</x:v>
      </x:c>
      <x:c r="B26" s="4" t="str">
        <x:v>PROJAPI</x:v>
      </x:c>
      <x:c r="C26" s="4" t="str">
        <x:v>Task Name</x:v>
      </x:c>
      <x:c r="D26" s="4" t="str">
        <x:v>Projects and Donations API</x:v>
      </x:c>
      <x:c r="E26" s="4" t="str"/>
      <x:c r="F26" s="4" t="str">
        <x:v>in progress</x:v>
      </x:c>
      <x:c r="G26" s="4" t="str"/>
      <x:c r="H26" s="4" t="str">
        <x:v>https://app.clickup.com/t/86d38tfuf</x:v>
      </x:c>
    </x:row>
    <x:row r="27">
      <x:c r="A27" s="8" t="str">
        <x:v>Subtask ID</x:v>
      </x:c>
      <x:c r="B27" s="8" t="str">
        <x:v>Subtask / Task Name</x:v>
      </x:c>
      <x:c r="C27" s="8" t="str">
        <x:v>Acceptance Criteria</x:v>
      </x:c>
      <x:c r="D27" s="8" t="str">
        <x:v>Evidence / Deliverable</x:v>
      </x:c>
      <x:c r="E27" s="8" t="str">
        <x:v>Weight Allocation</x:v>
      </x:c>
      <x:c r="F27" s="8" t="str">
        <x:v>ClickUp Status</x:v>
      </x:c>
      <x:c r="G27" s="8" t="str">
        <x:v>Accepted</x:v>
      </x:c>
      <x:c r="H27" s="8" t="str">
        <x:v>ClickUp URL</x:v>
      </x:c>
    </x:row>
    <x:row r="28">
      <x:c r="A28" s="16" t="str">
        <x:v>REQ-01</x:v>
      </x:c>
      <x:c r="B28" s="16" t="str">
        <x:v>Define projects and donations API requirements</x:v>
      </x:c>
      <x:c r="C28" s="16" t="str">
        <x:v>Given the PAULUS Define projects and donations API requirements task is implemented, the feature should meet the approved capstone requirements and pass review against its expected behavior.</x:v>
      </x:c>
      <x:c r="D28" s="16" t="str">
        <x:v>ClickUp task evidence, implementation output, QA notes, screenshots, tests, or manuscript updates for Define projects and donations API requirements.</x:v>
      </x:c>
      <x:c r="E28" s="18" t="n">
        <x:v>0.0016319444444444443</x:v>
      </x:c>
      <x:c r="F28" s="16" t="str">
        <x:v>planning/backlog</x:v>
      </x:c>
      <x:c r="G28" s="17" t="b">
        <x:v>0</x:v>
      </x:c>
      <x:c r="H28" s="16" t="str">
        <x:v>https://app.clickup.com/t/86d3906bh</x:v>
      </x:c>
    </x:row>
    <x:row r="29">
      <x:c r="A29" s="16" t="str">
        <x:v>DES-01</x:v>
      </x:c>
      <x:c r="B29" s="16" t="str">
        <x:v>Design projects and donations API structure</x:v>
      </x:c>
      <x:c r="C29" s="16" t="str">
        <x:v>Given the PAULUS Design projects and donations API structure task is implemented, the feature should meet the approved capstone requirements and pass review against its expected behavior.</x:v>
      </x:c>
      <x:c r="D29" s="16" t="str">
        <x:v>ClickUp task evidence, implementation output, QA notes, screenshots, tests, or manuscript updates for Design projects and donations API structure.</x:v>
      </x:c>
      <x:c r="E29" s="18" t="n">
        <x:v>0.0016319444444444443</x:v>
      </x:c>
      <x:c r="F29" s="16" t="str">
        <x:v>planning/backlog</x:v>
      </x:c>
      <x:c r="G29" s="17" t="b">
        <x:v>0</x:v>
      </x:c>
      <x:c r="H29" s="16" t="str">
        <x:v>https://app.clickup.com/t/86d3906c7</x:v>
      </x:c>
    </x:row>
    <x:row r="30">
      <x:c r="A30" s="16" t="str">
        <x:v>DEV-01</x:v>
      </x:c>
      <x:c r="B30" s="16" t="str">
        <x:v>Implement create and update project endpoints</x:v>
      </x:c>
      <x:c r="C30" s="16" t="str">
        <x:v>Given the PAULUS Implement create and update project endpoints task is implemented, the feature should meet the approved capstone requirements and pass review against its expected behavior.</x:v>
      </x:c>
      <x:c r="D30" s="16" t="str">
        <x:v>ClickUp task evidence, implementation output, QA notes, screenshots, tests, or manuscript updates for Implement create and update project endpoints.</x:v>
      </x:c>
      <x:c r="E30" s="18" t="n">
        <x:v>0.0016319444444444443</x:v>
      </x:c>
      <x:c r="F30" s="16" t="str">
        <x:v>planning/backlog</x:v>
      </x:c>
      <x:c r="G30" s="17" t="b">
        <x:v>0</x:v>
      </x:c>
      <x:c r="H30" s="16" t="str">
        <x:v>https://app.clickup.com/t/86d3906cq</x:v>
      </x:c>
    </x:row>
    <x:row r="31">
      <x:c r="A31" s="16" t="str">
        <x:v>DEV-02</x:v>
      </x:c>
      <x:c r="B31" s="16" t="str">
        <x:v>Implement donation and expense recording endpoints</x:v>
      </x:c>
      <x:c r="C31" s="16" t="str">
        <x:v>Given the PAULUS Implement donation and expense recording endpoints task is implemented, the feature should meet the approved capstone requirements and pass review against its expected behavior.</x:v>
      </x:c>
      <x:c r="D31" s="16" t="str">
        <x:v>ClickUp task evidence, implementation output, QA notes, screenshots, tests, or manuscript updates for Implement donation and expense recording endpoints.</x:v>
      </x:c>
      <x:c r="E31" s="18" t="n">
        <x:v>0.0016319444444444443</x:v>
      </x:c>
      <x:c r="F31" s="16" t="str">
        <x:v>planning/backlog</x:v>
      </x:c>
      <x:c r="G31" s="17" t="b">
        <x:v>0</x:v>
      </x:c>
      <x:c r="H31" s="16" t="str">
        <x:v>https://app.clickup.com/t/86d3906d4</x:v>
      </x:c>
    </x:row>
    <x:row r="32">
      <x:c r="A32" s="16" t="str">
        <x:v>DEV-03</x:v>
      </x:c>
      <x:c r="B32" s="16" t="str">
        <x:v>Implement project status and health scoring logic</x:v>
      </x:c>
      <x:c r="C32" s="16" t="str">
        <x:v>Given the PAULUS Implement project status and health scoring logic task is implemented, the feature should meet the approved capstone requirements and pass review against its expected behavior.</x:v>
      </x:c>
      <x:c r="D32" s="16" t="str">
        <x:v>ClickUp task evidence, implementation output, QA notes, screenshots, tests, or manuscript updates for Implement project status and health scoring logic.</x:v>
      </x:c>
      <x:c r="E32" s="18" t="n">
        <x:v>0.0016319444444444443</x:v>
      </x:c>
      <x:c r="F32" s="16" t="str">
        <x:v>planning/backlog</x:v>
      </x:c>
      <x:c r="G32" s="17" t="b">
        <x:v>0</x:v>
      </x:c>
      <x:c r="H32" s="16" t="str">
        <x:v>https://app.clickup.com/t/86d3906dr</x:v>
      </x:c>
    </x:row>
    <x:row r="33">
      <x:c r="A33" s="16" t="str">
        <x:v>TEST-01</x:v>
      </x:c>
      <x:c r="B33" s="16" t="str">
        <x:v>Test projects and donations API requests and responses</x:v>
      </x:c>
      <x:c r="C33" s="16" t="str">
        <x:v>Given the PAULUS Test projects and donations API requests and responses task is implemented, the feature should meet the approved capstone requirements and pass review against its expected behavior.</x:v>
      </x:c>
      <x:c r="D33" s="16" t="str">
        <x:v>ClickUp task evidence, implementation output, QA notes, screenshots, tests, or manuscript updates for Test projects and donations API requests and responses.</x:v>
      </x:c>
      <x:c r="E33" s="18" t="n">
        <x:v>0.0016319444444444443</x:v>
      </x:c>
      <x:c r="F33" s="16" t="str">
        <x:v>planning/backlog</x:v>
      </x:c>
      <x:c r="G33" s="17" t="b">
        <x:v>0</x:v>
      </x:c>
      <x:c r="H33" s="16" t="str">
        <x:v>https://app.clickup.com/t/86d3906en</x:v>
      </x:c>
    </x:row>
    <x:row r="34">
      <x:c r="A34" s="16" t="str">
        <x:v>FIX-01</x:v>
      </x:c>
      <x:c r="B34" s="16" t="str">
        <x:v>Resolve projects and donations API errors</x:v>
      </x:c>
      <x:c r="C34" s="16" t="str">
        <x:v>Given the PAULUS Resolve projects and donations API errors task is implemented, the feature should meet the approved capstone requirements and pass review against its expected behavior.</x:v>
      </x:c>
      <x:c r="D34" s="16" t="str">
        <x:v>ClickUp task evidence, implementation output, QA notes, screenshots, tests, or manuscript updates for Resolve projects and donations API errors.</x:v>
      </x:c>
      <x:c r="E34" s="18" t="n">
        <x:v>0.0016319444444444443</x:v>
      </x:c>
      <x:c r="F34" s="16" t="str">
        <x:v>planning/backlog</x:v>
      </x:c>
      <x:c r="G34" s="17" t="b">
        <x:v>0</x:v>
      </x:c>
      <x:c r="H34" s="16" t="str">
        <x:v>https://app.clickup.com/t/86d3906f3</x:v>
      </x:c>
    </x:row>
    <x:row r="35">
      <x:c r="A35" s="16" t="str">
        <x:v>UAT-01</x:v>
      </x:c>
      <x:c r="B35" s="16" t="str">
        <x:v>Validate projects and donations API with target users</x:v>
      </x:c>
      <x:c r="C35" s="16" t="str">
        <x:v>Given the PAULUS Validate projects and donations API with target users task is implemented, the feature should meet the approved capstone requirements and pass review against its expected behavior.</x:v>
      </x:c>
      <x:c r="D35" s="16" t="str">
        <x:v>ClickUp task evidence, implementation output, QA notes, screenshots, tests, or manuscript updates for Validate projects and donations API with target users.</x:v>
      </x:c>
      <x:c r="E35" s="18" t="n">
        <x:v>0.0016319444444444443</x:v>
      </x:c>
      <x:c r="F35" s="16" t="str">
        <x:v>planning/backlog</x:v>
      </x:c>
      <x:c r="G35" s="17" t="b">
        <x:v>0</x:v>
      </x:c>
      <x:c r="H35" s="16" t="str">
        <x:v>https://app.clickup.com/t/86d3906fd</x:v>
      </x:c>
    </x:row>
    <x:row r="36">
      <x:c r="A36" s="16" t="str">
        <x:v>MS-01</x:v>
      </x:c>
      <x:c r="B36" s="16" t="str">
        <x:v>Document projects and donations API process</x:v>
      </x:c>
      <x:c r="C36" s="16" t="str">
        <x:v>Given the PAULUS Document projects and donations API process task is implemented, the feature should meet the approved capstone requirements and pass review against its expected behavior.</x:v>
      </x:c>
      <x:c r="D36" s="16" t="str">
        <x:v>ClickUp task evidence, implementation output, QA notes, screenshots, tests, or manuscript updates for Document projects and donations API process.</x:v>
      </x:c>
      <x:c r="E36" s="18" t="n">
        <x:v>0.0016319444444444443</x:v>
      </x:c>
      <x:c r="F36" s="16" t="str">
        <x:v>planning/backlog</x:v>
      </x:c>
      <x:c r="G36" s="17" t="b">
        <x:v>0</x:v>
      </x:c>
      <x:c r="H36" s="16" t="str">
        <x:v>https://app.clickup.com/t/86d3906gq</x:v>
      </x:c>
    </x:row>
    <x:row r="37">
      <x:c r="A37" s="26" t="str">
        <x:v>Total Accomplished</x:v>
      </x:c>
      <x:c r="B37" s="26" t="str"/>
      <x:c r="C37" s="26" t="str"/>
      <x:c r="D37" s="26" t="str"/>
      <x:c r="E37" s="27" t="n">
        <x:f>SUM(E28:E36)</x:f>
        <x:v>0.0146875</x:v>
      </x:c>
      <x:c r="F37" s="27" t="str"/>
      <x:c r="G37" s="27" t="n">
        <x:f>SUMIF(G28:G36, TRUE, E28:E36)</x:f>
        <x:v>0</x:v>
      </x:c>
      <x:c r="H37" s="26" t="str"/>
    </x:row>
    <x:row r="39">
      <x:c r="A39" s="4" t="str">
        <x:v>Task ID</x:v>
      </x:c>
      <x:c r="B39" s="4" t="str">
        <x:v>ANNCAPI</x:v>
      </x:c>
      <x:c r="C39" s="4" t="str">
        <x:v>Task Name</x:v>
      </x:c>
      <x:c r="D39" s="4" t="str">
        <x:v>Announcements API</x:v>
      </x:c>
      <x:c r="E39" s="4" t="str"/>
      <x:c r="F39" s="4" t="str">
        <x:v>for qa / internal testing</x:v>
      </x:c>
      <x:c r="G39" s="4" t="str"/>
      <x:c r="H39" s="4" t="str">
        <x:v>https://app.clickup.com/t/86d38tfuw</x:v>
      </x:c>
    </x:row>
    <x:row r="40">
      <x:c r="A40" s="8" t="str">
        <x:v>Subtask ID</x:v>
      </x:c>
      <x:c r="B40" s="8" t="str">
        <x:v>Subtask / Task Name</x:v>
      </x:c>
      <x:c r="C40" s="8" t="str">
        <x:v>Acceptance Criteria</x:v>
      </x:c>
      <x:c r="D40" s="8" t="str">
        <x:v>Evidence / Deliverable</x:v>
      </x:c>
      <x:c r="E40" s="8" t="str">
        <x:v>Weight Allocation</x:v>
      </x:c>
      <x:c r="F40" s="8" t="str">
        <x:v>ClickUp Status</x:v>
      </x:c>
      <x:c r="G40" s="8" t="str">
        <x:v>Accepted</x:v>
      </x:c>
      <x:c r="H40" s="8" t="str">
        <x:v>ClickUp URL</x:v>
      </x:c>
    </x:row>
    <x:row r="41">
      <x:c r="A41" s="16" t="str">
        <x:v>REQ-01</x:v>
      </x:c>
      <x:c r="B41" s="16" t="str">
        <x:v>Define announcements API requirements</x:v>
      </x:c>
      <x:c r="C41" s="16" t="str">
        <x:v>Given the PAULUS Define announcements API requirements task is implemented, the feature should meet the approved capstone requirements and pass review against its expected behavior.</x:v>
      </x:c>
      <x:c r="D41" s="16" t="str">
        <x:v>ClickUp task evidence, implementation output, QA notes, screenshots, tests, or manuscript updates for Define announcements API requirements.</x:v>
      </x:c>
      <x:c r="E41" s="18" t="n">
        <x:v>0.0018359375</x:v>
      </x:c>
      <x:c r="F41" s="16" t="str">
        <x:v>planning/backlog</x:v>
      </x:c>
      <x:c r="G41" s="17" t="b">
        <x:v>0</x:v>
      </x:c>
      <x:c r="H41" s="16" t="str">
        <x:v>https://app.clickup.com/t/86d3906ty</x:v>
      </x:c>
    </x:row>
    <x:row r="42">
      <x:c r="A42" s="16" t="str">
        <x:v>DES-01</x:v>
      </x:c>
      <x:c r="B42" s="16" t="str">
        <x:v>Design announcements API structure</x:v>
      </x:c>
      <x:c r="C42" s="16" t="str">
        <x:v>Given the PAULUS Design announcements API structure task is implemented, the feature should meet the approved capstone requirements and pass review against its expected behavior.</x:v>
      </x:c>
      <x:c r="D42" s="16" t="str">
        <x:v>ClickUp task evidence, implementation output, QA notes, screenshots, tests, or manuscript updates for Design announcements API structure.</x:v>
      </x:c>
      <x:c r="E42" s="18" t="n">
        <x:v>0.0018359375</x:v>
      </x:c>
      <x:c r="F42" s="16" t="str">
        <x:v>planning/backlog</x:v>
      </x:c>
      <x:c r="G42" s="17" t="b">
        <x:v>0</x:v>
      </x:c>
      <x:c r="H42" s="16" t="str">
        <x:v>https://app.clickup.com/t/86d3906vf</x:v>
      </x:c>
    </x:row>
    <x:row r="43">
      <x:c r="A43" s="16" t="str">
        <x:v>DEV-01</x:v>
      </x:c>
      <x:c r="B43" s="16" t="str">
        <x:v>Implement announcements retrieval endpoint</x:v>
      </x:c>
      <x:c r="C43" s="16" t="str">
        <x:v>Given the PAULUS Implement announcements retrieval endpoint task is implemented, the feature should meet the approved capstone requirements and pass review against its expected behavior.</x:v>
      </x:c>
      <x:c r="D43" s="16" t="str">
        <x:v>ClickUp task evidence, implementation output, QA notes, screenshots, tests, or manuscript updates for Implement announcements retrieval endpoint.</x:v>
      </x:c>
      <x:c r="E43" s="18" t="n">
        <x:v>0.0018359375</x:v>
      </x:c>
      <x:c r="F43" s="16" t="str">
        <x:v>planning/backlog</x:v>
      </x:c>
      <x:c r="G43" s="17" t="b">
        <x:v>0</x:v>
      </x:c>
      <x:c r="H43" s="16" t="str">
        <x:v>https://app.clickup.com/t/86d3906wu</x:v>
      </x:c>
    </x:row>
    <x:row r="44">
      <x:c r="A44" s="16" t="str">
        <x:v>DEV-02</x:v>
      </x:c>
      <x:c r="B44" s="16" t="str">
        <x:v>Implement announcement creation and deletion endpoints</x:v>
      </x:c>
      <x:c r="C44" s="16" t="str">
        <x:v>Given the PAULUS Implement announcement creation and deletion endpoints task is implemented, the feature should meet the approved capstone requirements and pass review against its expected behavior.</x:v>
      </x:c>
      <x:c r="D44" s="16" t="str">
        <x:v>ClickUp task evidence, implementation output, QA notes, screenshots, tests, or manuscript updates for Implement announcement creation and deletion endpoints.</x:v>
      </x:c>
      <x:c r="E44" s="18" t="n">
        <x:v>0.0018359375</x:v>
      </x:c>
      <x:c r="F44" s="16" t="str">
        <x:v>planning/backlog</x:v>
      </x:c>
      <x:c r="G44" s="17" t="b">
        <x:v>0</x:v>
      </x:c>
      <x:c r="H44" s="16" t="str">
        <x:v>https://app.clickup.com/t/86d3906y0</x:v>
      </x:c>
    </x:row>
    <x:row r="45">
      <x:c r="A45" s="16" t="str">
        <x:v>TEST-01</x:v>
      </x:c>
      <x:c r="B45" s="16" t="str">
        <x:v>Test announcements API requests and responses</x:v>
      </x:c>
      <x:c r="C45" s="16" t="str">
        <x:v>Given the PAULUS Test announcements API requests and responses task is implemented, the feature should meet the approved capstone requirements and pass review against its expected behavior.</x:v>
      </x:c>
      <x:c r="D45" s="16" t="str">
        <x:v>ClickUp task evidence, implementation output, QA notes, screenshots, tests, or manuscript updates for Test announcements API requests and responses.</x:v>
      </x:c>
      <x:c r="E45" s="18" t="n">
        <x:v>0.0018359375</x:v>
      </x:c>
      <x:c r="F45" s="16" t="str">
        <x:v>planning/backlog</x:v>
      </x:c>
      <x:c r="G45" s="17" t="b">
        <x:v>0</x:v>
      </x:c>
      <x:c r="H45" s="16" t="str">
        <x:v>https://app.clickup.com/t/86d3906zj</x:v>
      </x:c>
    </x:row>
    <x:row r="46">
      <x:c r="A46" s="16" t="str">
        <x:v>FIX-01</x:v>
      </x:c>
      <x:c r="B46" s="16" t="str">
        <x:v>Resolve announcements API errors</x:v>
      </x:c>
      <x:c r="C46" s="16" t="str">
        <x:v>Given the PAULUS Resolve announcements API errors task is implemented, the feature should meet the approved capstone requirements and pass review against its expected behavior.</x:v>
      </x:c>
      <x:c r="D46" s="16" t="str">
        <x:v>ClickUp task evidence, implementation output, QA notes, screenshots, tests, or manuscript updates for Resolve announcements API errors.</x:v>
      </x:c>
      <x:c r="E46" s="18" t="n">
        <x:v>0.0018359375</x:v>
      </x:c>
      <x:c r="F46" s="16" t="str">
        <x:v>planning/backlog</x:v>
      </x:c>
      <x:c r="G46" s="17" t="b">
        <x:v>0</x:v>
      </x:c>
      <x:c r="H46" s="16" t="str">
        <x:v>https://app.clickup.com/t/86d39070d</x:v>
      </x:c>
    </x:row>
    <x:row r="47">
      <x:c r="A47" s="16" t="str">
        <x:v>UAT-01</x:v>
      </x:c>
      <x:c r="B47" s="16" t="str">
        <x:v>Validate announcements API with target users</x:v>
      </x:c>
      <x:c r="C47" s="16" t="str">
        <x:v>Given the PAULUS Validate announcements API with target users task is implemented, the feature should meet the approved capstone requirements and pass review against its expected behavior.</x:v>
      </x:c>
      <x:c r="D47" s="16" t="str">
        <x:v>ClickUp task evidence, implementation output, QA notes, screenshots, tests, or manuscript updates for Validate announcements API with target users.</x:v>
      </x:c>
      <x:c r="E47" s="18" t="n">
        <x:v>0.0018359375</x:v>
      </x:c>
      <x:c r="F47" s="16" t="str">
        <x:v>planning/backlog</x:v>
      </x:c>
      <x:c r="G47" s="17" t="b">
        <x:v>0</x:v>
      </x:c>
      <x:c r="H47" s="16" t="str">
        <x:v>https://app.clickup.com/t/86d39071k</x:v>
      </x:c>
    </x:row>
    <x:row r="48">
      <x:c r="A48" s="16" t="str">
        <x:v>MS-01</x:v>
      </x:c>
      <x:c r="B48" s="16" t="str">
        <x:v>Document announcements API process</x:v>
      </x:c>
      <x:c r="C48" s="16" t="str">
        <x:v>Given the PAULUS Document announcements API process task is implemented, the feature should meet the approved capstone requirements and pass review against its expected behavior.</x:v>
      </x:c>
      <x:c r="D48" s="16" t="str">
        <x:v>ClickUp task evidence, implementation output, QA notes, screenshots, tests, or manuscript updates for Document announcements API process.</x:v>
      </x:c>
      <x:c r="E48" s="18" t="n">
        <x:v>0.0018359375</x:v>
      </x:c>
      <x:c r="F48" s="16" t="str">
        <x:v>planning/backlog</x:v>
      </x:c>
      <x:c r="G48" s="17" t="b">
        <x:v>0</x:v>
      </x:c>
      <x:c r="H48" s="16" t="str">
        <x:v>https://app.clickup.com/t/86d39073j</x:v>
      </x:c>
    </x:row>
    <x:row r="49">
      <x:c r="A49" s="26" t="str">
        <x:v>Total Accomplished</x:v>
      </x:c>
      <x:c r="B49" s="26" t="str"/>
      <x:c r="C49" s="26" t="str"/>
      <x:c r="D49" s="26" t="str"/>
      <x:c r="E49" s="27" t="n">
        <x:f>SUM(E41:E48)</x:f>
        <x:v>0.014687499999999996</x:v>
      </x:c>
      <x:c r="F49" s="27" t="str"/>
      <x:c r="G49" s="27" t="n">
        <x:f>SUMIF(G41:G48, TRUE, E41:E48)</x:f>
        <x:v>0</x:v>
      </x:c>
      <x:c r="H49" s="26" t="str"/>
    </x:row>
    <x:row r="51">
      <x:c r="A51" s="4" t="str">
        <x:v>Task ID</x:v>
      </x:c>
      <x:c r="B51" s="4" t="str">
        <x:v>FSAPI</x:v>
      </x:c>
      <x:c r="C51" s="4" t="str">
        <x:v>Task Name</x:v>
      </x:c>
      <x:c r="D51" s="4" t="str">
        <x:v>Financial Statement Processing API</x:v>
      </x:c>
      <x:c r="E51" s="4" t="str"/>
      <x:c r="F51" s="4" t="str">
        <x:v>planning/backlog</x:v>
      </x:c>
      <x:c r="G51" s="4" t="str"/>
      <x:c r="H51" s="4" t="str">
        <x:v>https://app.clickup.com/t/86d38tfu2</x:v>
      </x:c>
    </x:row>
    <x:row r="52">
      <x:c r="A52" s="8" t="str">
        <x:v>Subtask ID</x:v>
      </x:c>
      <x:c r="B52" s="8" t="str">
        <x:v>Subtask / Task Name</x:v>
      </x:c>
      <x:c r="C52" s="8" t="str">
        <x:v>Acceptance Criteria</x:v>
      </x:c>
      <x:c r="D52" s="8" t="str">
        <x:v>Evidence / Deliverable</x:v>
      </x:c>
      <x:c r="E52" s="8" t="str">
        <x:v>Weight Allocation</x:v>
      </x:c>
      <x:c r="F52" s="8" t="str">
        <x:v>ClickUp Status</x:v>
      </x:c>
      <x:c r="G52" s="8" t="str">
        <x:v>Accepted</x:v>
      </x:c>
      <x:c r="H52" s="8" t="str">
        <x:v>ClickUp URL</x:v>
      </x:c>
    </x:row>
    <x:row r="53">
      <x:c r="A53" s="16" t="str">
        <x:v>REQ-01</x:v>
      </x:c>
      <x:c r="B53" s="16" t="str">
        <x:v>Define financial statement processing requirements</x:v>
      </x:c>
      <x:c r="C53" s="16" t="str">
        <x:v>Given the PAULUS Define financial statement processing requirements task is implemented, the feature should meet the approved capstone requirements and pass review against its expected behavior.</x:v>
      </x:c>
      <x:c r="D53" s="16" t="str">
        <x:v>ClickUp task evidence, implementation output, QA notes, screenshots, tests, or manuscript updates for Define financial statement processing requirements.</x:v>
      </x:c>
      <x:c r="E53" s="18" t="n">
        <x:v>0.0016319444444444443</x:v>
      </x:c>
      <x:c r="F53" s="16" t="str">
        <x:v>planning/backlog</x:v>
      </x:c>
      <x:c r="G53" s="17" t="b">
        <x:v>0</x:v>
      </x:c>
      <x:c r="H53" s="16" t="str">
        <x:v>https://app.clickup.com/t/86d3905n3</x:v>
      </x:c>
    </x:row>
    <x:row r="54">
      <x:c r="A54" s="16" t="str">
        <x:v>DES-01</x:v>
      </x:c>
      <x:c r="B54" s="16" t="str">
        <x:v>Map financial statement fields to database structure</x:v>
      </x:c>
      <x:c r="C54" s="16" t="str">
        <x:v>Given the PAULUS Map financial statement fields to database structure task is implemented, the feature should meet the approved capstone requirements and pass review against its expected behavior.</x:v>
      </x:c>
      <x:c r="D54" s="16" t="str">
        <x:v>ClickUp task evidence, implementation output, QA notes, screenshots, tests, or manuscript updates for Map financial statement fields to database structure.</x:v>
      </x:c>
      <x:c r="E54" s="18" t="n">
        <x:v>0.0016319444444444443</x:v>
      </x:c>
      <x:c r="F54" s="16" t="str">
        <x:v>planning/backlog</x:v>
      </x:c>
      <x:c r="G54" s="17" t="b">
        <x:v>0</x:v>
      </x:c>
      <x:c r="H54" s="16" t="str">
        <x:v>https://app.clickup.com/t/86d3905p3</x:v>
      </x:c>
    </x:row>
    <x:row r="55">
      <x:c r="A55" s="16" t="str">
        <x:v>DEV-01</x:v>
      </x:c>
      <x:c r="B55" s="16" t="str">
        <x:v>Build financial statement upload endpoint</x:v>
      </x:c>
      <x:c r="C55" s="16" t="str">
        <x:v>Given the PAULUS Build financial statement upload endpoint task is implemented, the feature should meet the approved capstone requirements and pass review against its expected behavior.</x:v>
      </x:c>
      <x:c r="D55" s="16" t="str">
        <x:v>ClickUp task evidence, implementation output, QA notes, screenshots, tests, or manuscript updates for Build financial statement upload endpoint.</x:v>
      </x:c>
      <x:c r="E55" s="18" t="n">
        <x:v>0.0016319444444444443</x:v>
      </x:c>
      <x:c r="F55" s="16" t="str">
        <x:v>planning/backlog</x:v>
      </x:c>
      <x:c r="G55" s="17" t="b">
        <x:v>0</x:v>
      </x:c>
      <x:c r="H55" s="16" t="str">
        <x:v>https://app.clickup.com/t/86d3905pt</x:v>
      </x:c>
    </x:row>
    <x:row r="56">
      <x:c r="A56" s="16" t="str">
        <x:v>DEV-02</x:v>
      </x:c>
      <x:c r="B56" s="16" t="str">
        <x:v>Implement financial statement validation logic</x:v>
      </x:c>
      <x:c r="C56" s="16" t="str">
        <x:v>Given the PAULUS Implement financial statement validation logic task is implemented, the feature should meet the approved capstone requirements and pass review against its expected behavior.</x:v>
      </x:c>
      <x:c r="D56" s="16" t="str">
        <x:v>ClickUp task evidence, implementation output, QA notes, screenshots, tests, or manuscript updates for Implement financial statement validation logic.</x:v>
      </x:c>
      <x:c r="E56" s="18" t="n">
        <x:v>0.0016319444444444443</x:v>
      </x:c>
      <x:c r="F56" s="16" t="str">
        <x:v>planning/backlog</x:v>
      </x:c>
      <x:c r="G56" s="17" t="b">
        <x:v>0</x:v>
      </x:c>
      <x:c r="H56" s="16" t="str">
        <x:v>https://app.clickup.com/t/86d3905qp</x:v>
      </x:c>
    </x:row>
    <x:row r="57">
      <x:c r="A57" s="16" t="str">
        <x:v>DEV-03</x:v>
      </x:c>
      <x:c r="B57" s="16" t="str">
        <x:v>Implement financial statement data saving logic</x:v>
      </x:c>
      <x:c r="C57" s="16" t="str">
        <x:v>Given the PAULUS Implement financial statement data saving logic task is implemented, the feature should meet the approved capstone requirements and pass review against its expected behavior.</x:v>
      </x:c>
      <x:c r="D57" s="16" t="str">
        <x:v>ClickUp task evidence, implementation output, QA notes, screenshots, tests, or manuscript updates for Implement financial statement data saving logic.</x:v>
      </x:c>
      <x:c r="E57" s="18" t="n">
        <x:v>0.0016319444444444443</x:v>
      </x:c>
      <x:c r="F57" s="16" t="str">
        <x:v>planning/backlog</x:v>
      </x:c>
      <x:c r="G57" s="17" t="b">
        <x:v>0</x:v>
      </x:c>
      <x:c r="H57" s="16" t="str">
        <x:v>https://app.clickup.com/t/86d3905rv</x:v>
      </x:c>
    </x:row>
    <x:row r="58">
      <x:c r="A58" s="16" t="str">
        <x:v>TEST-01</x:v>
      </x:c>
      <x:c r="B58" s="16" t="str">
        <x:v>Test financial statement processing using sample records</x:v>
      </x:c>
      <x:c r="C58" s="16" t="str">
        <x:v>Given the PAULUS Test financial statement processing using sample records task is implemented, the feature should meet the approved capstone requirements and pass review against its expected behavior.</x:v>
      </x:c>
      <x:c r="D58" s="16" t="str">
        <x:v>ClickUp task evidence, implementation output, QA notes, screenshots, tests, or manuscript updates for Test financial statement processing using sample records.</x:v>
      </x:c>
      <x:c r="E58" s="18" t="n">
        <x:v>0.0016319444444444443</x:v>
      </x:c>
      <x:c r="F58" s="16" t="str">
        <x:v>planning/backlog</x:v>
      </x:c>
      <x:c r="G58" s="17" t="b">
        <x:v>0</x:v>
      </x:c>
      <x:c r="H58" s="16" t="str">
        <x:v>https://app.clickup.com/t/86d3905tg</x:v>
      </x:c>
    </x:row>
    <x:row r="59">
      <x:c r="A59" s="16" t="str">
        <x:v>FIX-01</x:v>
      </x:c>
      <x:c r="B59" s="16" t="str">
        <x:v>Resolve financial statement processing errors</x:v>
      </x:c>
      <x:c r="C59" s="16" t="str">
        <x:v>Given the PAULUS Resolve financial statement processing errors task is implemented, the feature should meet the approved capstone requirements and pass review against its expected behavior.</x:v>
      </x:c>
      <x:c r="D59" s="16" t="str">
        <x:v>ClickUp task evidence, implementation output, QA notes, screenshots, tests, or manuscript updates for Resolve financial statement processing errors.</x:v>
      </x:c>
      <x:c r="E59" s="18" t="n">
        <x:v>0.0016319444444444443</x:v>
      </x:c>
      <x:c r="F59" s="16" t="str">
        <x:v>planning/backlog</x:v>
      </x:c>
      <x:c r="G59" s="17" t="b">
        <x:v>0</x:v>
      </x:c>
      <x:c r="H59" s="16" t="str">
        <x:v>https://app.clickup.com/t/86d3905u8</x:v>
      </x:c>
    </x:row>
    <x:row r="60">
      <x:c r="A60" s="16" t="str">
        <x:v>UAT-01</x:v>
      </x:c>
      <x:c r="B60" s="16" t="str">
        <x:v>Validate financial statement processing with target users</x:v>
      </x:c>
      <x:c r="C60" s="16" t="str">
        <x:v>Given the PAULUS Validate financial statement processing with target users task is implemented, the feature should meet the approved capstone requirements and pass review against its expected behavior.</x:v>
      </x:c>
      <x:c r="D60" s="16" t="str">
        <x:v>ClickUp task evidence, implementation output, QA notes, screenshots, tests, or manuscript updates for Validate financial statement processing with target users.</x:v>
      </x:c>
      <x:c r="E60" s="18" t="n">
        <x:v>0.0016319444444444443</x:v>
      </x:c>
      <x:c r="F60" s="16" t="str">
        <x:v>planning/backlog</x:v>
      </x:c>
      <x:c r="G60" s="17" t="b">
        <x:v>0</x:v>
      </x:c>
      <x:c r="H60" s="16" t="str">
        <x:v>https://app.clickup.com/t/86d3905w3</x:v>
      </x:c>
    </x:row>
    <x:row r="61">
      <x:c r="A61" s="16" t="str">
        <x:v>MS-01</x:v>
      </x:c>
      <x:c r="B61" s="16" t="str">
        <x:v>Document financial statement processing workflow</x:v>
      </x:c>
      <x:c r="C61" s="16" t="str">
        <x:v>Given the PAULUS Document financial statement processing workflow task is implemented, the feature should meet the approved capstone requirements and pass review against its expected behavior.</x:v>
      </x:c>
      <x:c r="D61" s="16" t="str">
        <x:v>ClickUp task evidence, implementation output, QA notes, screenshots, tests, or manuscript updates for Document financial statement processing workflow.</x:v>
      </x:c>
      <x:c r="E61" s="18" t="n">
        <x:v>0.0016319444444444443</x:v>
      </x:c>
      <x:c r="F61" s="16" t="str">
        <x:v>planning/backlog</x:v>
      </x:c>
      <x:c r="G61" s="17" t="b">
        <x:v>0</x:v>
      </x:c>
      <x:c r="H61" s="16" t="str">
        <x:v>https://app.clickup.com/t/86d3905x7</x:v>
      </x:c>
    </x:row>
    <x:row r="62">
      <x:c r="A62" s="26" t="str">
        <x:v>Total Accomplished</x:v>
      </x:c>
      <x:c r="B62" s="26" t="str"/>
      <x:c r="C62" s="26" t="str"/>
      <x:c r="D62" s="26" t="str"/>
      <x:c r="E62" s="27" t="n">
        <x:f>SUM(E53:E61)</x:f>
        <x:v>0.0146875</x:v>
      </x:c>
      <x:c r="F62" s="27" t="str"/>
      <x:c r="G62" s="27" t="n">
        <x:f>SUMIF(G53:G61, TRUE, E53:E61)</x:f>
        <x:v>0</x:v>
      </x:c>
      <x:c r="H62" s="26" t="str"/>
    </x:row>
    <x:row r="64">
      <x:c r="A64" s="4" t="str">
        <x:v>Task ID</x:v>
      </x:c>
      <x:c r="B64" s="4" t="str">
        <x:v>IAFRAPI</x:v>
      </x:c>
      <x:c r="C64" s="4" t="str">
        <x:v>Task Name</x:v>
      </x:c>
      <x:c r="D64" s="4" t="str">
        <x:v>IAFR Processing API</x:v>
      </x:c>
      <x:c r="E64" s="4" t="str"/>
      <x:c r="F64" s="4" t="str">
        <x:v>planning/backlog</x:v>
      </x:c>
      <x:c r="G64" s="4" t="str"/>
      <x:c r="H64" s="4" t="str">
        <x:v>https://app.clickup.com/t/86d38tftn</x:v>
      </x:c>
    </x:row>
    <x:row r="65">
      <x:c r="A65" s="8" t="str">
        <x:v>Subtask ID</x:v>
      </x:c>
      <x:c r="B65" s="8" t="str">
        <x:v>Subtask / Task Name</x:v>
      </x:c>
      <x:c r="C65" s="8" t="str">
        <x:v>Acceptance Criteria</x:v>
      </x:c>
      <x:c r="D65" s="8" t="str">
        <x:v>Evidence / Deliverable</x:v>
      </x:c>
      <x:c r="E65" s="8" t="str">
        <x:v>Weight Allocation</x:v>
      </x:c>
      <x:c r="F65" s="8" t="str">
        <x:v>ClickUp Status</x:v>
      </x:c>
      <x:c r="G65" s="8" t="str">
        <x:v>Accepted</x:v>
      </x:c>
      <x:c r="H65" s="8" t="str">
        <x:v>ClickUp URL</x:v>
      </x:c>
    </x:row>
    <x:row r="66">
      <x:c r="A66" s="16" t="str">
        <x:v>REQ-01</x:v>
      </x:c>
      <x:c r="B66" s="16" t="str">
        <x:v>Define IAFR processing requirements</x:v>
      </x:c>
      <x:c r="C66" s="16" t="str">
        <x:v>Given the PAULUS Define IAFR processing requirements task is implemented, the feature should meet the approved capstone requirements and pass review against its expected behavior.</x:v>
      </x:c>
      <x:c r="D66" s="16" t="str">
        <x:v>ClickUp task evidence, implementation output, QA notes, screenshots, tests, or manuscript updates for Define IAFR processing requirements.</x:v>
      </x:c>
      <x:c r="E66" s="18" t="n">
        <x:v>0.0016319444444444443</x:v>
      </x:c>
      <x:c r="F66" s="16" t="str">
        <x:v>planning/backlog</x:v>
      </x:c>
      <x:c r="G66" s="17" t="b">
        <x:v>0</x:v>
      </x:c>
      <x:c r="H66" s="16" t="str">
        <x:v>https://app.clickup.com/t/86d390525</x:v>
      </x:c>
    </x:row>
    <x:row r="67">
      <x:c r="A67" s="16" t="str">
        <x:v>DES-01</x:v>
      </x:c>
      <x:c r="B67" s="16" t="str">
        <x:v>Map IAFR fields to database structure</x:v>
      </x:c>
      <x:c r="C67" s="16" t="str">
        <x:v>Given the PAULUS Map IAFR fields to database structure task is implemented, the feature should meet the approved capstone requirements and pass review against its expected behavior.</x:v>
      </x:c>
      <x:c r="D67" s="16" t="str">
        <x:v>ClickUp task evidence, implementation output, QA notes, screenshots, tests, or manuscript updates for Map IAFR fields to database structure.</x:v>
      </x:c>
      <x:c r="E67" s="18" t="n">
        <x:v>0.0016319444444444443</x:v>
      </x:c>
      <x:c r="F67" s="16" t="str">
        <x:v>planning/backlog</x:v>
      </x:c>
      <x:c r="G67" s="17" t="b">
        <x:v>0</x:v>
      </x:c>
      <x:c r="H67" s="16" t="str">
        <x:v>https://app.clickup.com/t/86d39052z</x:v>
      </x:c>
    </x:row>
    <x:row r="68">
      <x:c r="A68" s="16" t="str">
        <x:v>DEV-01</x:v>
      </x:c>
      <x:c r="B68" s="16" t="str">
        <x:v>Build IAFR upload endpoint</x:v>
      </x:c>
      <x:c r="C68" s="16" t="str">
        <x:v>Given the PAULUS Build IAFR upload endpoint task is implemented, the feature should meet the approved capstone requirements and pass review against its expected behavior.</x:v>
      </x:c>
      <x:c r="D68" s="16" t="str">
        <x:v>ClickUp task evidence, implementation output, QA notes, screenshots, tests, or manuscript updates for Build IAFR upload endpoint.</x:v>
      </x:c>
      <x:c r="E68" s="18" t="n">
        <x:v>0.0016319444444444443</x:v>
      </x:c>
      <x:c r="F68" s="16" t="str">
        <x:v>planning/backlog</x:v>
      </x:c>
      <x:c r="G68" s="17" t="b">
        <x:v>0</x:v>
      </x:c>
      <x:c r="H68" s="16" t="str">
        <x:v>https://app.clickup.com/t/86d39053t</x:v>
      </x:c>
    </x:row>
    <x:row r="69">
      <x:c r="A69" s="16" t="str">
        <x:v>DEV-02</x:v>
      </x:c>
      <x:c r="B69" s="16" t="str">
        <x:v>Implement IAFR validation logic</x:v>
      </x:c>
      <x:c r="C69" s="16" t="str">
        <x:v>Given the PAULUS Implement IAFR validation logic task is implemented, the feature should meet the approved capstone requirements and pass review against its expected behavior.</x:v>
      </x:c>
      <x:c r="D69" s="16" t="str">
        <x:v>ClickUp task evidence, implementation output, QA notes, screenshots, tests, or manuscript updates for Implement IAFR validation logic.</x:v>
      </x:c>
      <x:c r="E69" s="18" t="n">
        <x:v>0.0016319444444444443</x:v>
      </x:c>
      <x:c r="F69" s="16" t="str">
        <x:v>planning/backlog</x:v>
      </x:c>
      <x:c r="G69" s="17" t="b">
        <x:v>0</x:v>
      </x:c>
      <x:c r="H69" s="16" t="str">
        <x:v>https://app.clickup.com/t/86d39054f</x:v>
      </x:c>
    </x:row>
    <x:row r="70">
      <x:c r="A70" s="16" t="str">
        <x:v>DEV-03</x:v>
      </x:c>
      <x:c r="B70" s="16" t="str">
        <x:v>Implement IAFR data saving logic</x:v>
      </x:c>
      <x:c r="C70" s="16" t="str">
        <x:v>Given the PAULUS Implement IAFR data saving logic task is implemented, the feature should meet the approved capstone requirements and pass review against its expected behavior.</x:v>
      </x:c>
      <x:c r="D70" s="16" t="str">
        <x:v>ClickUp task evidence, implementation output, QA notes, screenshots, tests, or manuscript updates for Implement IAFR data saving logic.</x:v>
      </x:c>
      <x:c r="E70" s="18" t="n">
        <x:v>0.0016319444444444443</x:v>
      </x:c>
      <x:c r="F70" s="16" t="str">
        <x:v>planning/backlog</x:v>
      </x:c>
      <x:c r="G70" s="17" t="b">
        <x:v>0</x:v>
      </x:c>
      <x:c r="H70" s="16" t="str">
        <x:v>https://app.clickup.com/t/86d39059t</x:v>
      </x:c>
    </x:row>
    <x:row r="71">
      <x:c r="A71" s="16" t="str">
        <x:v>TEST-01</x:v>
      </x:c>
      <x:c r="B71" s="16" t="str">
        <x:v>Test IAFR processing using sample records</x:v>
      </x:c>
      <x:c r="C71" s="16" t="str">
        <x:v>Given the PAULUS Test IAFR processing using sample records task is implemented, the feature should meet the approved capstone requirements and pass review against its expected behavior.</x:v>
      </x:c>
      <x:c r="D71" s="16" t="str">
        <x:v>ClickUp task evidence, implementation output, QA notes, screenshots, tests, or manuscript updates for Test IAFR processing using sample records.</x:v>
      </x:c>
      <x:c r="E71" s="18" t="n">
        <x:v>0.0016319444444444443</x:v>
      </x:c>
      <x:c r="F71" s="16" t="str">
        <x:v>planning/backlog</x:v>
      </x:c>
      <x:c r="G71" s="17" t="b">
        <x:v>0</x:v>
      </x:c>
      <x:c r="H71" s="16" t="str">
        <x:v>https://app.clickup.com/t/86d3905b8</x:v>
      </x:c>
    </x:row>
    <x:row r="72">
      <x:c r="A72" s="16" t="str">
        <x:v>FIX-01</x:v>
      </x:c>
      <x:c r="B72" s="16" t="str">
        <x:v>Resolve IAFR processing and validation errors</x:v>
      </x:c>
      <x:c r="C72" s="16" t="str">
        <x:v>Given the PAULUS Resolve IAFR processing and validation errors task is implemented, the feature should meet the approved capstone requirements and pass review against its expected behavior.</x:v>
      </x:c>
      <x:c r="D72" s="16" t="str">
        <x:v>ClickUp task evidence, implementation output, QA notes, screenshots, tests, or manuscript updates for Resolve IAFR processing and validation errors.</x:v>
      </x:c>
      <x:c r="E72" s="18" t="n">
        <x:v>0.0016319444444444443</x:v>
      </x:c>
      <x:c r="F72" s="16" t="str">
        <x:v>planning/backlog</x:v>
      </x:c>
      <x:c r="G72" s="17" t="b">
        <x:v>0</x:v>
      </x:c>
      <x:c r="H72" s="16" t="str">
        <x:v>https://app.clickup.com/t/86d3905cy</x:v>
      </x:c>
    </x:row>
    <x:row r="73">
      <x:c r="A73" s="16" t="str">
        <x:v>UAT-01</x:v>
      </x:c>
      <x:c r="B73" s="16" t="str">
        <x:v>Validate IAFR processing with target users</x:v>
      </x:c>
      <x:c r="C73" s="16" t="str">
        <x:v>Given the PAULUS Validate IAFR processing with target users task is implemented, the feature should meet the approved capstone requirements and pass review against its expected behavior.</x:v>
      </x:c>
      <x:c r="D73" s="16" t="str">
        <x:v>ClickUp task evidence, implementation output, QA notes, screenshots, tests, or manuscript updates for Validate IAFR processing with target users.</x:v>
      </x:c>
      <x:c r="E73" s="18" t="n">
        <x:v>0.0016319444444444443</x:v>
      </x:c>
      <x:c r="F73" s="16" t="str">
        <x:v>planning/backlog</x:v>
      </x:c>
      <x:c r="G73" s="17" t="b">
        <x:v>0</x:v>
      </x:c>
      <x:c r="H73" s="16" t="str">
        <x:v>https://app.clickup.com/t/86d3905ep</x:v>
      </x:c>
    </x:row>
    <x:row r="74">
      <x:c r="A74" s="16" t="str">
        <x:v>MS-01</x:v>
      </x:c>
      <x:c r="B74" s="16" t="str">
        <x:v>Document IAFR processing workflow</x:v>
      </x:c>
      <x:c r="C74" s="16" t="str">
        <x:v>Given the PAULUS Document IAFR processing workflow task is implemented, the feature should meet the approved capstone requirements and pass review against its expected behavior.</x:v>
      </x:c>
      <x:c r="D74" s="16" t="str">
        <x:v>ClickUp task evidence, implementation output, QA notes, screenshots, tests, or manuscript updates for Document IAFR processing workflow.</x:v>
      </x:c>
      <x:c r="E74" s="18" t="n">
        <x:v>0.0016319444444444443</x:v>
      </x:c>
      <x:c r="F74" s="16" t="str">
        <x:v>planning/backlog</x:v>
      </x:c>
      <x:c r="G74" s="17" t="b">
        <x:v>0</x:v>
      </x:c>
      <x:c r="H74" s="16" t="str">
        <x:v>https://app.clickup.com/t/86d3905hh</x:v>
      </x:c>
    </x:row>
    <x:row r="75">
      <x:c r="A75" s="26" t="str">
        <x:v>Total Accomplished</x:v>
      </x:c>
      <x:c r="B75" s="26" t="str"/>
      <x:c r="C75" s="26" t="str"/>
      <x:c r="D75" s="26" t="str"/>
      <x:c r="E75" s="27" t="n">
        <x:f>SUM(E66:E74)</x:f>
        <x:v>0.0146875</x:v>
      </x:c>
      <x:c r="F75" s="27" t="str"/>
      <x:c r="G75" s="27" t="n">
        <x:f>SUMIF(G66:G74, TRUE, E66:E74)</x:f>
        <x:v>0</x:v>
      </x:c>
      <x:c r="H75" s="26" t="str"/>
    </x:row>
    <x:row r="77">
      <x:c r="A77" s="4" t="str">
        <x:v>Task ID</x:v>
      </x:c>
      <x:c r="B77" s="4" t="str">
        <x:v>ANALYTICSAPI</x:v>
      </x:c>
      <x:c r="C77" s="4" t="str">
        <x:v>Task Name</x:v>
      </x:c>
      <x:c r="D77" s="4" t="str">
        <x:v>Analytics Result API</x:v>
      </x:c>
      <x:c r="E77" s="4" t="str"/>
      <x:c r="F77" s="4" t="str">
        <x:v>planning/backlog</x:v>
      </x:c>
      <x:c r="G77" s="4" t="str"/>
      <x:c r="H77" s="4" t="str">
        <x:v>https://app.clickup.com/t/86d38tg0q</x:v>
      </x:c>
    </x:row>
    <x:row r="78">
      <x:c r="A78" s="8" t="str">
        <x:v>Subtask ID</x:v>
      </x:c>
      <x:c r="B78" s="8" t="str">
        <x:v>Subtask / Task Name</x:v>
      </x:c>
      <x:c r="C78" s="8" t="str">
        <x:v>Acceptance Criteria</x:v>
      </x:c>
      <x:c r="D78" s="8" t="str">
        <x:v>Evidence / Deliverable</x:v>
      </x:c>
      <x:c r="E78" s="8" t="str">
        <x:v>Weight Allocation</x:v>
      </x:c>
      <x:c r="F78" s="8" t="str">
        <x:v>ClickUp Status</x:v>
      </x:c>
      <x:c r="G78" s="8" t="str">
        <x:v>Accepted</x:v>
      </x:c>
      <x:c r="H78" s="8" t="str">
        <x:v>ClickUp URL</x:v>
      </x:c>
    </x:row>
    <x:row r="79">
      <x:c r="A79" s="16" t="str">
        <x:v>REQ-01</x:v>
      </x:c>
      <x:c r="B79" s="16" t="str">
        <x:v>Define analytics API requirements</x:v>
      </x:c>
      <x:c r="C79" s="16" t="str">
        <x:v>Given the PAULUS Define analytics API requirements task is implemented, the feature should meet the approved capstone requirements and pass review against its expected behavior.</x:v>
      </x:c>
      <x:c r="D79" s="16" t="str">
        <x:v>ClickUp task evidence, implementation output, QA notes, screenshots, tests, or manuscript updates for Define analytics API requirements.</x:v>
      </x:c>
      <x:c r="E79" s="18" t="n">
        <x:v>0.0016319444444444443</x:v>
      </x:c>
      <x:c r="F79" s="16" t="str">
        <x:v>planning/backlog</x:v>
      </x:c>
      <x:c r="G79" s="17" t="b">
        <x:v>0</x:v>
      </x:c>
      <x:c r="H79" s="16" t="str">
        <x:v>https://app.clickup.com/t/86d390b0f</x:v>
      </x:c>
    </x:row>
    <x:row r="80">
      <x:c r="A80" s="16" t="str">
        <x:v>DES-01</x:v>
      </x:c>
      <x:c r="B80" s="16" t="str">
        <x:v>Design analytics API response structure</x:v>
      </x:c>
      <x:c r="C80" s="16" t="str">
        <x:v>Given the PAULUS Design analytics API response structure task is implemented, the feature should meet the approved capstone requirements and pass review against its expected behavior.</x:v>
      </x:c>
      <x:c r="D80" s="16" t="str">
        <x:v>ClickUp task evidence, implementation output, QA notes, screenshots, tests, or manuscript updates for Design analytics API response structure.</x:v>
      </x:c>
      <x:c r="E80" s="18" t="n">
        <x:v>0.0016319444444444443</x:v>
      </x:c>
      <x:c r="F80" s="16" t="str">
        <x:v>planning/backlog</x:v>
      </x:c>
      <x:c r="G80" s="17" t="b">
        <x:v>0</x:v>
      </x:c>
      <x:c r="H80" s="16" t="str">
        <x:v>https://app.clickup.com/t/86d390b2c</x:v>
      </x:c>
    </x:row>
    <x:row r="81">
      <x:c r="A81" s="16" t="str">
        <x:v>DEV-01</x:v>
      </x:c>
      <x:c r="B81" s="16" t="str">
        <x:v>Build financial health result endpoint</x:v>
      </x:c>
      <x:c r="C81" s="16" t="str">
        <x:v>Given the PAULUS Build financial health result endpoint task is implemented, the feature should meet the approved capstone requirements and pass review against its expected behavior.</x:v>
      </x:c>
      <x:c r="D81" s="16" t="str">
        <x:v>ClickUp task evidence, implementation output, QA notes, screenshots, tests, or manuscript updates for Build financial health result endpoint.</x:v>
      </x:c>
      <x:c r="E81" s="18" t="n">
        <x:v>0.0016319444444444443</x:v>
      </x:c>
      <x:c r="F81" s="16" t="str">
        <x:v>planning/backlog</x:v>
      </x:c>
      <x:c r="G81" s="17" t="b">
        <x:v>0</x:v>
      </x:c>
      <x:c r="H81" s="16" t="str">
        <x:v>https://app.clickup.com/t/86d390b55</x:v>
      </x:c>
    </x:row>
    <x:row r="82">
      <x:c r="A82" s="16" t="str">
        <x:v>DEV-02</x:v>
      </x:c>
      <x:c r="B82" s="16" t="str">
        <x:v>Build forecasting result endpoint</x:v>
      </x:c>
      <x:c r="C82" s="16" t="str">
        <x:v>Given the PAULUS Build forecasting result endpoint task is implemented, the feature should meet the approved capstone requirements and pass review against its expected behavior.</x:v>
      </x:c>
      <x:c r="D82" s="16" t="str">
        <x:v>ClickUp task evidence, implementation output, QA notes, screenshots, tests, or manuscript updates for Build forecasting result endpoint.</x:v>
      </x:c>
      <x:c r="E82" s="18" t="n">
        <x:v>0.0016319444444444443</x:v>
      </x:c>
      <x:c r="F82" s="16" t="str">
        <x:v>planning/backlog</x:v>
      </x:c>
      <x:c r="G82" s="17" t="b">
        <x:v>0</x:v>
      </x:c>
      <x:c r="H82" s="16" t="str">
        <x:v>https://app.clickup.com/t/86d390b6u</x:v>
      </x:c>
    </x:row>
    <x:row r="83">
      <x:c r="A83" s="16" t="str">
        <x:v>DEV-03</x:v>
      </x:c>
      <x:c r="B83" s="16" t="str">
        <x:v>Build recommendation result endpoint</x:v>
      </x:c>
      <x:c r="C83" s="16" t="str">
        <x:v>Given the PAULUS Build recommendation result endpoint task is implemented, the feature should meet the approved capstone requirements and pass review against its expected behavior.</x:v>
      </x:c>
      <x:c r="D83" s="16" t="str">
        <x:v>ClickUp task evidence, implementation output, QA notes, screenshots, tests, or manuscript updates for Build recommendation result endpoint.</x:v>
      </x:c>
      <x:c r="E83" s="18" t="n">
        <x:v>0.0016319444444444443</x:v>
      </x:c>
      <x:c r="F83" s="16" t="str">
        <x:v>planning/backlog</x:v>
      </x:c>
      <x:c r="G83" s="17" t="b">
        <x:v>0</x:v>
      </x:c>
      <x:c r="H83" s="16" t="str">
        <x:v>https://app.clickup.com/t/86d390b84</x:v>
      </x:c>
    </x:row>
    <x:row r="84">
      <x:c r="A84" s="16" t="str">
        <x:v>TEST-01</x:v>
      </x:c>
      <x:c r="B84" s="16" t="str">
        <x:v>Test analytics API responses</x:v>
      </x:c>
      <x:c r="C84" s="16" t="str">
        <x:v>Given the PAULUS Test analytics API responses task is implemented, the feature should meet the approved capstone requirements and pass review against its expected behavior.</x:v>
      </x:c>
      <x:c r="D84" s="16" t="str">
        <x:v>ClickUp task evidence, implementation output, QA notes, screenshots, tests, or manuscript updates for Test analytics API responses.</x:v>
      </x:c>
      <x:c r="E84" s="18" t="n">
        <x:v>0.0016319444444444443</x:v>
      </x:c>
      <x:c r="F84" s="16" t="str">
        <x:v>planning/backlog</x:v>
      </x:c>
      <x:c r="G84" s="17" t="b">
        <x:v>0</x:v>
      </x:c>
      <x:c r="H84" s="16" t="str">
        <x:v>https://app.clickup.com/t/86d390b9c</x:v>
      </x:c>
    </x:row>
    <x:row r="85">
      <x:c r="A85" s="16" t="str">
        <x:v>FIX-01</x:v>
      </x:c>
      <x:c r="B85" s="16" t="str">
        <x:v>Resolve analytics API errors</x:v>
      </x:c>
      <x:c r="C85" s="16" t="str">
        <x:v>Given the PAULUS Resolve analytics API errors task is implemented, the feature should meet the approved capstone requirements and pass review against its expected behavior.</x:v>
      </x:c>
      <x:c r="D85" s="16" t="str">
        <x:v>ClickUp task evidence, implementation output, QA notes, screenshots, tests, or manuscript updates for Resolve analytics API errors.</x:v>
      </x:c>
      <x:c r="E85" s="18" t="n">
        <x:v>0.0016319444444444443</x:v>
      </x:c>
      <x:c r="F85" s="16" t="str">
        <x:v>planning/backlog</x:v>
      </x:c>
      <x:c r="G85" s="17" t="b">
        <x:v>0</x:v>
      </x:c>
      <x:c r="H85" s="16" t="str">
        <x:v>https://app.clickup.com/t/86d390bb3</x:v>
      </x:c>
    </x:row>
    <x:row r="86">
      <x:c r="A86" s="16" t="str">
        <x:v>UAT-01</x:v>
      </x:c>
      <x:c r="B86" s="16" t="str">
        <x:v>Validate analytics API outputs with target users</x:v>
      </x:c>
      <x:c r="C86" s="16" t="str">
        <x:v>Given the PAULUS Validate analytics API outputs with target users task is implemented, the feature should meet the approved capstone requirements and pass review against its expected behavior.</x:v>
      </x:c>
      <x:c r="D86" s="16" t="str">
        <x:v>ClickUp task evidence, implementation output, QA notes, screenshots, tests, or manuscript updates for Validate analytics API outputs with target users.</x:v>
      </x:c>
      <x:c r="E86" s="18" t="n">
        <x:v>0.0016319444444444443</x:v>
      </x:c>
      <x:c r="F86" s="16" t="str">
        <x:v>planning/backlog</x:v>
      </x:c>
      <x:c r="G86" s="17" t="b">
        <x:v>0</x:v>
      </x:c>
      <x:c r="H86" s="16" t="str">
        <x:v>https://app.clickup.com/t/86d390bda</x:v>
      </x:c>
    </x:row>
    <x:row r="87">
      <x:c r="A87" s="16" t="str">
        <x:v>MS-01</x:v>
      </x:c>
      <x:c r="B87" s="16" t="str">
        <x:v>Document analytics API process</x:v>
      </x:c>
      <x:c r="C87" s="16" t="str">
        <x:v>Given the PAULUS Document analytics API process task is implemented, the feature should meet the approved capstone requirements and pass review against its expected behavior.</x:v>
      </x:c>
      <x:c r="D87" s="16" t="str">
        <x:v>ClickUp task evidence, implementation output, QA notes, screenshots, tests, or manuscript updates for Document analytics API process.</x:v>
      </x:c>
      <x:c r="E87" s="18" t="n">
        <x:v>0.0016319444444444443</x:v>
      </x:c>
      <x:c r="F87" s="16" t="str">
        <x:v>planning/backlog</x:v>
      </x:c>
      <x:c r="G87" s="17" t="b">
        <x:v>0</x:v>
      </x:c>
      <x:c r="H87" s="16" t="str">
        <x:v>https://app.clickup.com/t/86d390ber</x:v>
      </x:c>
    </x:row>
    <x:row r="88">
      <x:c r="A88" s="26" t="str">
        <x:v>Total Accomplished</x:v>
      </x:c>
      <x:c r="B88" s="26" t="str"/>
      <x:c r="C88" s="26" t="str"/>
      <x:c r="D88" s="26" t="str"/>
      <x:c r="E88" s="27" t="n">
        <x:f>SUM(E79:E87)</x:f>
        <x:v>0.0146875</x:v>
      </x:c>
      <x:c r="F88" s="27" t="str"/>
      <x:c r="G88" s="27" t="n">
        <x:f>SUMIF(G79:G87, TRUE, E79:E87)</x:f>
        <x:v>0</x:v>
      </x:c>
      <x:c r="H88" s="26" t="str"/>
    </x:row>
    <x:row r="90">
      <x:c r="A90" s="4" t="str">
        <x:v>Task ID</x:v>
      </x:c>
      <x:c r="B90" s="4" t="str">
        <x:v>REPORTAPI</x:v>
      </x:c>
      <x:c r="C90" s="4" t="str">
        <x:v>Task Name</x:v>
      </x:c>
      <x:c r="D90" s="4" t="str">
        <x:v>Report Generation API</x:v>
      </x:c>
      <x:c r="E90" s="4" t="str"/>
      <x:c r="F90" s="4" t="str">
        <x:v>planning/backlog</x:v>
      </x:c>
      <x:c r="G90" s="4" t="str"/>
      <x:c r="H90" s="4" t="str">
        <x:v>https://app.clickup.com/t/86d38tg14</x:v>
      </x:c>
    </x:row>
    <x:row r="91">
      <x:c r="A91" s="8" t="str">
        <x:v>Subtask ID</x:v>
      </x:c>
      <x:c r="B91" s="8" t="str">
        <x:v>Subtask / Task Name</x:v>
      </x:c>
      <x:c r="C91" s="8" t="str">
        <x:v>Acceptance Criteria</x:v>
      </x:c>
      <x:c r="D91" s="8" t="str">
        <x:v>Evidence / Deliverable</x:v>
      </x:c>
      <x:c r="E91" s="8" t="str">
        <x:v>Weight Allocation</x:v>
      </x:c>
      <x:c r="F91" s="8" t="str">
        <x:v>ClickUp Status</x:v>
      </x:c>
      <x:c r="G91" s="8" t="str">
        <x:v>Accepted</x:v>
      </x:c>
      <x:c r="H91" s="8" t="str">
        <x:v>ClickUp URL</x:v>
      </x:c>
    </x:row>
    <x:row r="92">
      <x:c r="A92" s="16" t="str">
        <x:v>REQ-01</x:v>
      </x:c>
      <x:c r="B92" s="16" t="str">
        <x:v>Define report generation API requirements</x:v>
      </x:c>
      <x:c r="C92" s="16" t="str">
        <x:v>Given the PAULUS Define report generation API requirements task is implemented, the feature should meet the approved capstone requirements and pass review against its expected behavior.</x:v>
      </x:c>
      <x:c r="D92" s="16" t="str">
        <x:v>ClickUp task evidence, implementation output, QA notes, screenshots, tests, or manuscript updates for Define report generation API requirements.</x:v>
      </x:c>
      <x:c r="E92" s="18" t="n">
        <x:v>0.0024479166666666664</x:v>
      </x:c>
      <x:c r="F92" s="16" t="str">
        <x:v>standardized subtask - URL pending</x:v>
      </x:c>
      <x:c r="G92" s="17" t="b">
        <x:v>0</x:v>
      </x:c>
      <x:c r="H92" s="16" t="str"/>
    </x:row>
    <x:row r="93">
      <x:c r="A93" s="16" t="str">
        <x:v>DES-01</x:v>
      </x:c>
      <x:c r="B93" s="16" t="str">
        <x:v>Design report generation API structure and workflow</x:v>
      </x:c>
      <x:c r="C93" s="16" t="str">
        <x:v>Given the PAULUS Design report generation API structure and workflow task is implemented, the feature should meet the approved capstone requirements and pass review against its expected behavior.</x:v>
      </x:c>
      <x:c r="D93" s="16" t="str">
        <x:v>ClickUp task evidence, implementation output, QA notes, screenshots, tests, or manuscript updates for Design report generation API structure and workflow.</x:v>
      </x:c>
      <x:c r="E93" s="18" t="n">
        <x:v>0.0024479166666666664</x:v>
      </x:c>
      <x:c r="F93" s="16" t="str">
        <x:v>standardized subtask - URL pending</x:v>
      </x:c>
      <x:c r="G93" s="17" t="b">
        <x:v>0</x:v>
      </x:c>
      <x:c r="H93" s="16" t="str"/>
    </x:row>
    <x:row r="94">
      <x:c r="A94" s="16" t="str">
        <x:v>DEV-01</x:v>
      </x:c>
      <x:c r="B94" s="16" t="str">
        <x:v>Implement report generation API baseline functionality</x:v>
      </x:c>
      <x:c r="C94" s="16" t="str">
        <x:v>Given the PAULUS Implement report generation API baseline functionality task is implemented, the feature should meet the approved capstone requirements and pass review against its expected behavior.</x:v>
      </x:c>
      <x:c r="D94" s="16" t="str">
        <x:v>ClickUp task evidence, implementation output, QA notes, screenshots, tests, or manuscript updates for Implement report generation API baseline functionality.</x:v>
      </x:c>
      <x:c r="E94" s="18" t="n">
        <x:v>0.0024479166666666664</x:v>
      </x:c>
      <x:c r="F94" s="16" t="str">
        <x:v>standardized subtask - URL pending</x:v>
      </x:c>
      <x:c r="G94" s="17" t="b">
        <x:v>0</x:v>
      </x:c>
      <x:c r="H94" s="16" t="str"/>
    </x:row>
    <x:row r="95">
      <x:c r="A95" s="16" t="str">
        <x:v>TEST-01</x:v>
      </x:c>
      <x:c r="B95" s="16" t="str">
        <x:v>Test report generation API behavior and outputs</x:v>
      </x:c>
      <x:c r="C95" s="16" t="str">
        <x:v>Given the PAULUS Test report generation API behavior and outputs task is implemented, the feature should meet the approved capstone requirements and pass review against its expected behavior.</x:v>
      </x:c>
      <x:c r="D95" s="16" t="str">
        <x:v>ClickUp task evidence, implementation output, QA notes, screenshots, tests, or manuscript updates for Test report generation API behavior and outputs.</x:v>
      </x:c>
      <x:c r="E95" s="18" t="n">
        <x:v>0.0024479166666666664</x:v>
      </x:c>
      <x:c r="F95" s="16" t="str">
        <x:v>standardized subtask - URL pending</x:v>
      </x:c>
      <x:c r="G95" s="17" t="b">
        <x:v>0</x:v>
      </x:c>
      <x:c r="H95" s="16" t="str"/>
    </x:row>
    <x:row r="96">
      <x:c r="A96" s="16" t="str">
        <x:v>FIX-01</x:v>
      </x:c>
      <x:c r="B96" s="16" t="str">
        <x:v>Resolve report generation API issues</x:v>
      </x:c>
      <x:c r="C96" s="16" t="str">
        <x:v>Given the PAULUS Resolve report generation API issues task is implemented, the feature should meet the approved capstone requirements and pass review against its expected behavior.</x:v>
      </x:c>
      <x:c r="D96" s="16" t="str">
        <x:v>ClickUp task evidence, implementation output, QA notes, screenshots, tests, or manuscript updates for Resolve report generation API issues.</x:v>
      </x:c>
      <x:c r="E96" s="18" t="n">
        <x:v>0.0024479166666666664</x:v>
      </x:c>
      <x:c r="F96" s="16" t="str">
        <x:v>standardized subtask - URL pending</x:v>
      </x:c>
      <x:c r="G96" s="17" t="b">
        <x:v>0</x:v>
      </x:c>
      <x:c r="H96" s="16" t="str"/>
    </x:row>
    <x:row r="97">
      <x:c r="A97" s="16" t="str">
        <x:v>MS-01</x:v>
      </x:c>
      <x:c r="B97" s="16" t="str">
        <x:v>Document report generation API in Chapter 4</x:v>
      </x:c>
      <x:c r="C97" s="16" t="str">
        <x:v>Given the PAULUS Document report generation API in Chapter 4 task is implemented, the feature should meet the approved capstone requirements and pass review against its expected behavior.</x:v>
      </x:c>
      <x:c r="D97" s="16" t="str">
        <x:v>ClickUp task evidence, implementation output, QA notes, screenshots, tests, or manuscript updates for Document report generation API in Chapter 4.</x:v>
      </x:c>
      <x:c r="E97" s="18" t="n">
        <x:v>0.0024479166666666664</x:v>
      </x:c>
      <x:c r="F97" s="16" t="str">
        <x:v>standardized subtask - URL pending</x:v>
      </x:c>
      <x:c r="G97" s="17" t="b">
        <x:v>0</x:v>
      </x:c>
      <x:c r="H97" s="16" t="str"/>
    </x:row>
    <x:row r="98">
      <x:c r="A98" s="26" t="str">
        <x:v>Total Accomplished</x:v>
      </x:c>
      <x:c r="B98" s="26" t="str"/>
      <x:c r="C98" s="26" t="str"/>
      <x:c r="D98" s="26" t="str"/>
      <x:c r="E98" s="27" t="n">
        <x:f>SUM(E92:E97)</x:f>
        <x:v>0.014687499999999997</x:v>
      </x:c>
      <x:c r="F98" s="27" t="str"/>
      <x:c r="G98" s="27" t="n">
        <x:f>SUMIF(G92:G97, TRUE, E92:E97)</x:f>
        <x:v>0</x:v>
      </x:c>
      <x:c r="H98" s="26" t="str"/>
    </x:row>
    <x:row r="100">
      <x:c r="A100" s="4" t="str">
        <x:v>Task ID</x:v>
      </x:c>
      <x:c r="B100" s="4" t="str">
        <x:v>BUDGETAPI</x:v>
      </x:c>
      <x:c r="C100" s="4" t="str">
        <x:v>Task Name</x:v>
      </x:c>
      <x:c r="D100" s="4" t="str">
        <x:v>Budget API and Validation</x:v>
      </x:c>
      <x:c r="E100" s="4" t="str"/>
      <x:c r="F100" s="4" t="str">
        <x:v>planning/backlog</x:v>
      </x:c>
      <x:c r="G100" s="4" t="str"/>
      <x:c r="H100" s="4" t="str">
        <x:v>https://app.clickup.com/t/86d3bw6g7</x:v>
      </x:c>
    </x:row>
    <x:row r="101">
      <x:c r="A101" s="8" t="str">
        <x:v>Subtask ID</x:v>
      </x:c>
      <x:c r="B101" s="8" t="str">
        <x:v>Subtask / Task Name</x:v>
      </x:c>
      <x:c r="C101" s="8" t="str">
        <x:v>Acceptance Criteria</x:v>
      </x:c>
      <x:c r="D101" s="8" t="str">
        <x:v>Evidence / Deliverable</x:v>
      </x:c>
      <x:c r="E101" s="8" t="str">
        <x:v>Weight Allocation</x:v>
      </x:c>
      <x:c r="F101" s="8" t="str">
        <x:v>ClickUp Status</x:v>
      </x:c>
      <x:c r="G101" s="8" t="str">
        <x:v>Accepted</x:v>
      </x:c>
      <x:c r="H101" s="8" t="str">
        <x:v>ClickUp URL</x:v>
      </x:c>
    </x:row>
    <x:row r="102">
      <x:c r="A102" s="16" t="str">
        <x:v>REQ-01</x:v>
      </x:c>
      <x:c r="B102" s="16" t="str">
        <x:v>Define budget API requirements</x:v>
      </x:c>
      <x:c r="C102" s="16" t="str">
        <x:v>Given the PAULUS Define budget API requirements task is implemented, the feature should meet the approved capstone requirements and pass review against its expected behavior.</x:v>
      </x:c>
      <x:c r="D102" s="16" t="str">
        <x:v>ClickUp task evidence, implementation output, QA notes, screenshots, tests, or manuscript updates for Define budget API requirements.</x:v>
      </x:c>
      <x:c r="E102" s="18" t="n">
        <x:v>0.0020982142857142857</x:v>
      </x:c>
      <x:c r="F102" s="16" t="str">
        <x:v>planning/backlog</x:v>
      </x:c>
      <x:c r="G102" s="17" t="b">
        <x:v>0</x:v>
      </x:c>
      <x:c r="H102" s="16" t="str">
        <x:v>https://app.clickup.com/t/86d3bwntu</x:v>
      </x:c>
    </x:row>
    <x:row r="103">
      <x:c r="A103" s="16" t="str">
        <x:v>DES-01</x:v>
      </x:c>
      <x:c r="B103" s="16" t="str">
        <x:v>Design budget API request, response, and validation structure</x:v>
      </x:c>
      <x:c r="C103" s="16" t="str">
        <x:v>Given the PAULUS Design budget API request, response, and validation structure task is implemented, the feature should meet the approved capstone requirements and pass review against its expected behavior.</x:v>
      </x:c>
      <x:c r="D103" s="16" t="str">
        <x:v>ClickUp task evidence, implementation output, QA notes, screenshots, tests, or manuscript updates for Design budget API request, response, and validation structure.</x:v>
      </x:c>
      <x:c r="E103" s="18" t="n">
        <x:v>0.0020982142857142857</x:v>
      </x:c>
      <x:c r="F103" s="16" t="str">
        <x:v>planning/backlog</x:v>
      </x:c>
      <x:c r="G103" s="17" t="b">
        <x:v>0</x:v>
      </x:c>
      <x:c r="H103" s="16" t="str">
        <x:v>https://app.clickup.com/t/86d3bwnub</x:v>
      </x:c>
    </x:row>
    <x:row r="104">
      <x:c r="A104" s="16" t="str">
        <x:v>DEV-01</x:v>
      </x:c>
      <x:c r="B104" s="16" t="str">
        <x:v>Build budget API endpoints</x:v>
      </x:c>
      <x:c r="C104" s="16" t="str">
        <x:v>Given the PAULUS Build budget API endpoints task is implemented, the feature should meet the approved capstone requirements and pass review against its expected behavior.</x:v>
      </x:c>
      <x:c r="D104" s="16" t="str">
        <x:v>ClickUp task evidence, implementation output, QA notes, screenshots, tests, or manuscript updates for Build budget API endpoints.</x:v>
      </x:c>
      <x:c r="E104" s="18" t="n">
        <x:v>0.0020982142857142857</x:v>
      </x:c>
      <x:c r="F104" s="16" t="str">
        <x:v>planning/backlog</x:v>
      </x:c>
      <x:c r="G104" s="17" t="b">
        <x:v>0</x:v>
      </x:c>
      <x:c r="H104" s="16" t="str">
        <x:v>https://app.clickup.com/t/86d3bwnuw</x:v>
      </x:c>
    </x:row>
    <x:row r="105">
      <x:c r="A105" s="16" t="str">
        <x:v>TEST-01</x:v>
      </x:c>
      <x:c r="B105" s="16" t="str">
        <x:v>Test budget API validation and responses</x:v>
      </x:c>
      <x:c r="C105" s="16" t="str">
        <x:v>Given the PAULUS Test budget API validation and responses task is implemented, the feature should meet the approved capstone requirements and pass review against its expected behavior.</x:v>
      </x:c>
      <x:c r="D105" s="16" t="str">
        <x:v>ClickUp task evidence, implementation output, QA notes, screenshots, tests, or manuscript updates for Test budget API validation and responses.</x:v>
      </x:c>
      <x:c r="E105" s="18" t="n">
        <x:v>0.0020982142857142857</x:v>
      </x:c>
      <x:c r="F105" s="16" t="str">
        <x:v>planning/backlog</x:v>
      </x:c>
      <x:c r="G105" s="17" t="b">
        <x:v>0</x:v>
      </x:c>
      <x:c r="H105" s="16" t="str">
        <x:v>https://app.clickup.com/t/86d3bwnzn</x:v>
      </x:c>
    </x:row>
    <x:row r="106">
      <x:c r="A106" s="16" t="str">
        <x:v>FIX-01</x:v>
      </x:c>
      <x:c r="B106" s="16" t="str">
        <x:v>Resolve budget API issues</x:v>
      </x:c>
      <x:c r="C106" s="16" t="str">
        <x:v>Given the PAULUS Resolve budget API issues task is implemented, the feature should meet the approved capstone requirements and pass review against its expected behavior.</x:v>
      </x:c>
      <x:c r="D106" s="16" t="str">
        <x:v>ClickUp task evidence, implementation output, QA notes, screenshots, tests, or manuscript updates for Resolve budget API issues.</x:v>
      </x:c>
      <x:c r="E106" s="18" t="n">
        <x:v>0.0020982142857142857</x:v>
      </x:c>
      <x:c r="F106" s="16" t="str">
        <x:v>planning/backlog</x:v>
      </x:c>
      <x:c r="G106" s="17" t="b">
        <x:v>0</x:v>
      </x:c>
      <x:c r="H106" s="16" t="str">
        <x:v>https://app.clickup.com/t/86d3bwp0e</x:v>
      </x:c>
    </x:row>
    <x:row r="107">
      <x:c r="A107" s="16" t="str">
        <x:v>UAT-01</x:v>
      </x:c>
      <x:c r="B107" s="16" t="str">
        <x:v>Validate budget API with frontend workflow</x:v>
      </x:c>
      <x:c r="C107" s="16" t="str">
        <x:v>Given the PAULUS Validate budget API with frontend workflow task is implemented, the feature should meet the approved capstone requirements and pass review against its expected behavior.</x:v>
      </x:c>
      <x:c r="D107" s="16" t="str">
        <x:v>ClickUp task evidence, implementation output, QA notes, screenshots, tests, or manuscript updates for Validate budget API with frontend workflow.</x:v>
      </x:c>
      <x:c r="E107" s="18" t="n">
        <x:v>0.0020982142857142857</x:v>
      </x:c>
      <x:c r="F107" s="16" t="str">
        <x:v>planning/backlog</x:v>
      </x:c>
      <x:c r="G107" s="17" t="b">
        <x:v>0</x:v>
      </x:c>
      <x:c r="H107" s="16" t="str">
        <x:v>https://app.clickup.com/t/86d3bwp1a</x:v>
      </x:c>
    </x:row>
    <x:row r="108">
      <x:c r="A108" s="16" t="str">
        <x:v>MS-01</x:v>
      </x:c>
      <x:c r="B108" s="16" t="str">
        <x:v>Document budget API process</x:v>
      </x:c>
      <x:c r="C108" s="16" t="str">
        <x:v>Given the PAULUS Document budget API process task is implemented, the feature should meet the approved capstone requirements and pass review against its expected behavior.</x:v>
      </x:c>
      <x:c r="D108" s="16" t="str">
        <x:v>ClickUp task evidence, implementation output, QA notes, screenshots, tests, or manuscript updates for Document budget API process.</x:v>
      </x:c>
      <x:c r="E108" s="18" t="n">
        <x:v>0.0020982142857142857</x:v>
      </x:c>
      <x:c r="F108" s="16" t="str">
        <x:v>planning/backlog</x:v>
      </x:c>
      <x:c r="G108" s="17" t="b">
        <x:v>0</x:v>
      </x:c>
      <x:c r="H108" s="16" t="str">
        <x:v>https://app.clickup.com/t/86d3bwp27</x:v>
      </x:c>
    </x:row>
    <x:row r="109">
      <x:c r="A109" s="26" t="str">
        <x:v>Total Accomplished</x:v>
      </x:c>
      <x:c r="B109" s="26" t="str"/>
      <x:c r="C109" s="26" t="str"/>
      <x:c r="D109" s="26" t="str"/>
      <x:c r="E109" s="27" t="n">
        <x:f>SUM(E102:E108)</x:f>
        <x:v>0.014687500000000003</x:v>
      </x:c>
      <x:c r="F109" s="27" t="str"/>
      <x:c r="G109" s="27" t="n">
        <x:f>SUMIF(G102:G108, TRUE, E102:E108)</x:f>
        <x:v>0</x:v>
      </x:c>
      <x:c r="H109" s="26" t="str"/>
    </x:row>
    <x:row r="111">
      <x:c r="A111" s="4" t="str">
        <x:v>Task ID</x:v>
      </x:c>
      <x:c r="B111" s="4" t="str">
        <x:v>EVENTAPI</x:v>
      </x:c>
      <x:c r="C111" s="4" t="str">
        <x:v>Task Name</x:v>
      </x:c>
      <x:c r="D111" s="4" t="str">
        <x:v>Events API</x:v>
      </x:c>
      <x:c r="E111" s="4" t="str"/>
      <x:c r="F111" s="4" t="str">
        <x:v>planning/backlog</x:v>
      </x:c>
      <x:c r="G111" s="4" t="str"/>
      <x:c r="H111" s="4" t="str">
        <x:v>https://app.clickup.com/t/86d3bw6hb</x:v>
      </x:c>
    </x:row>
    <x:row r="112">
      <x:c r="A112" s="8" t="str">
        <x:v>Subtask ID</x:v>
      </x:c>
      <x:c r="B112" s="8" t="str">
        <x:v>Subtask / Task Name</x:v>
      </x:c>
      <x:c r="C112" s="8" t="str">
        <x:v>Acceptance Criteria</x:v>
      </x:c>
      <x:c r="D112" s="8" t="str">
        <x:v>Evidence / Deliverable</x:v>
      </x:c>
      <x:c r="E112" s="8" t="str">
        <x:v>Weight Allocation</x:v>
      </x:c>
      <x:c r="F112" s="8" t="str">
        <x:v>ClickUp Status</x:v>
      </x:c>
      <x:c r="G112" s="8" t="str">
        <x:v>Accepted</x:v>
      </x:c>
      <x:c r="H112" s="8" t="str">
        <x:v>ClickUp URL</x:v>
      </x:c>
    </x:row>
    <x:row r="113">
      <x:c r="A113" s="16" t="str">
        <x:v>REQ-01</x:v>
      </x:c>
      <x:c r="B113" s="16" t="str">
        <x:v>Define events API requirements</x:v>
      </x:c>
      <x:c r="C113" s="16" t="str">
        <x:v>Given the PAULUS Define events API requirements task is implemented, the feature should meet the approved capstone requirements and pass review against its expected behavior.</x:v>
      </x:c>
      <x:c r="D113" s="16" t="str">
        <x:v>ClickUp task evidence, implementation output, QA notes, screenshots, tests, or manuscript updates for Define events API requirements.</x:v>
      </x:c>
      <x:c r="E113" s="18" t="n">
        <x:v>0.0020982142857142857</x:v>
      </x:c>
      <x:c r="F113" s="16" t="str">
        <x:v>planning/backlog</x:v>
      </x:c>
      <x:c r="G113" s="17" t="b">
        <x:v>0</x:v>
      </x:c>
      <x:c r="H113" s="16" t="str">
        <x:v>https://app.clickup.com/t/86d3bwp8y</x:v>
      </x:c>
    </x:row>
    <x:row r="114">
      <x:c r="A114" s="16" t="str">
        <x:v>DES-01</x:v>
      </x:c>
      <x:c r="B114" s="16" t="str">
        <x:v>Design event API request, response, and validation structure</x:v>
      </x:c>
      <x:c r="C114" s="16" t="str">
        <x:v>Given the PAULUS Design event API request, response, and validation structure task is implemented, the feature should meet the approved capstone requirements and pass review against its expected behavior.</x:v>
      </x:c>
      <x:c r="D114" s="16" t="str">
        <x:v>ClickUp task evidence, implementation output, QA notes, screenshots, tests, or manuscript updates for Design event API request, response, and validation structure.</x:v>
      </x:c>
      <x:c r="E114" s="18" t="n">
        <x:v>0.0020982142857142857</x:v>
      </x:c>
      <x:c r="F114" s="16" t="str">
        <x:v>planning/backlog</x:v>
      </x:c>
      <x:c r="G114" s="17" t="b">
        <x:v>0</x:v>
      </x:c>
      <x:c r="H114" s="16" t="str">
        <x:v>https://app.clickup.com/t/86d3bwp9q</x:v>
      </x:c>
    </x:row>
    <x:row r="115">
      <x:c r="A115" s="16" t="str">
        <x:v>DEV-01</x:v>
      </x:c>
      <x:c r="B115" s="16" t="str">
        <x:v>Build event CRUD endpoints</x:v>
      </x:c>
      <x:c r="C115" s="16" t="str">
        <x:v>Given the PAULUS Build event CRUD endpoints task is implemented, the feature should meet the approved capstone requirements and pass review against its expected behavior.</x:v>
      </x:c>
      <x:c r="D115" s="16" t="str">
        <x:v>ClickUp task evidence, implementation output, QA notes, screenshots, tests, or manuscript updates for Build event CRUD endpoints.</x:v>
      </x:c>
      <x:c r="E115" s="18" t="n">
        <x:v>0.0020982142857142857</x:v>
      </x:c>
      <x:c r="F115" s="16" t="str">
        <x:v>planning/backlog</x:v>
      </x:c>
      <x:c r="G115" s="17" t="b">
        <x:v>0</x:v>
      </x:c>
      <x:c r="H115" s="16" t="str">
        <x:v>https://app.clickup.com/t/86d3bwpaa</x:v>
      </x:c>
    </x:row>
    <x:row r="116">
      <x:c r="A116" s="16" t="str">
        <x:v>TEST-01</x:v>
      </x:c>
      <x:c r="B116" s="16" t="str">
        <x:v>Test event API validation and persistence</x:v>
      </x:c>
      <x:c r="C116" s="16" t="str">
        <x:v>Given the PAULUS Test event API validation and persistence task is implemented, the feature should meet the approved capstone requirements and pass review against its expected behavior.</x:v>
      </x:c>
      <x:c r="D116" s="16" t="str">
        <x:v>ClickUp task evidence, implementation output, QA notes, screenshots, tests, or manuscript updates for Test event API validation and persistence.</x:v>
      </x:c>
      <x:c r="E116" s="18" t="n">
        <x:v>0.0020982142857142857</x:v>
      </x:c>
      <x:c r="F116" s="16" t="str">
        <x:v>planning/backlog</x:v>
      </x:c>
      <x:c r="G116" s="17" t="b">
        <x:v>0</x:v>
      </x:c>
      <x:c r="H116" s="16" t="str">
        <x:v>https://app.clickup.com/t/86d3bwpat</x:v>
      </x:c>
    </x:row>
    <x:row r="117">
      <x:c r="A117" s="16" t="str">
        <x:v>FIX-01</x:v>
      </x:c>
      <x:c r="B117" s="16" t="str">
        <x:v>Resolve events API issues</x:v>
      </x:c>
      <x:c r="C117" s="16" t="str">
        <x:v>Given the PAULUS Resolve events API issues task is implemented, the feature should meet the approved capstone requirements and pass review against its expected behavior.</x:v>
      </x:c>
      <x:c r="D117" s="16" t="str">
        <x:v>ClickUp task evidence, implementation output, QA notes, screenshots, tests, or manuscript updates for Resolve events API issues.</x:v>
      </x:c>
      <x:c r="E117" s="18" t="n">
        <x:v>0.0020982142857142857</x:v>
      </x:c>
      <x:c r="F117" s="16" t="str">
        <x:v>planning/backlog</x:v>
      </x:c>
      <x:c r="G117" s="17" t="b">
        <x:v>0</x:v>
      </x:c>
      <x:c r="H117" s="16" t="str">
        <x:v>https://app.clickup.com/t/86d3bwpb9</x:v>
      </x:c>
    </x:row>
    <x:row r="118">
      <x:c r="A118" s="16" t="str">
        <x:v>UAT-01</x:v>
      </x:c>
      <x:c r="B118" s="16" t="str">
        <x:v>Validate events API with frontend workflow</x:v>
      </x:c>
      <x:c r="C118" s="16" t="str">
        <x:v>Given the PAULUS Validate events API with frontend workflow task is implemented, the feature should meet the approved capstone requirements and pass review against its expected behavior.</x:v>
      </x:c>
      <x:c r="D118" s="16" t="str">
        <x:v>ClickUp task evidence, implementation output, QA notes, screenshots, tests, or manuscript updates for Validate events API with frontend workflow.</x:v>
      </x:c>
      <x:c r="E118" s="18" t="n">
        <x:v>0.0020982142857142857</x:v>
      </x:c>
      <x:c r="F118" s="16" t="str">
        <x:v>planning/backlog</x:v>
      </x:c>
      <x:c r="G118" s="17" t="b">
        <x:v>0</x:v>
      </x:c>
      <x:c r="H118" s="16" t="str">
        <x:v>https://app.clickup.com/t/86d3bwpbr</x:v>
      </x:c>
    </x:row>
    <x:row r="119">
      <x:c r="A119" s="16" t="str">
        <x:v>MS-01</x:v>
      </x:c>
      <x:c r="B119" s="16" t="str">
        <x:v>Document events API process</x:v>
      </x:c>
      <x:c r="C119" s="16" t="str">
        <x:v>Given the PAULUS Document events API process task is implemented, the feature should meet the approved capstone requirements and pass review against its expected behavior.</x:v>
      </x:c>
      <x:c r="D119" s="16" t="str">
        <x:v>ClickUp task evidence, implementation output, QA notes, screenshots, tests, or manuscript updates for Document events API process.</x:v>
      </x:c>
      <x:c r="E119" s="18" t="n">
        <x:v>0.0020982142857142857</x:v>
      </x:c>
      <x:c r="F119" s="16" t="str">
        <x:v>planning/backlog</x:v>
      </x:c>
      <x:c r="G119" s="17" t="b">
        <x:v>0</x:v>
      </x:c>
      <x:c r="H119" s="16" t="str">
        <x:v>https://app.clickup.com/t/86d3bwpcx</x:v>
      </x:c>
    </x:row>
    <x:row r="120">
      <x:c r="A120" s="26" t="str">
        <x:v>Total Accomplished</x:v>
      </x:c>
      <x:c r="B120" s="26" t="str"/>
      <x:c r="C120" s="26" t="str"/>
      <x:c r="D120" s="26" t="str"/>
      <x:c r="E120" s="27" t="n">
        <x:f>SUM(E113:E119)</x:f>
        <x:v>0.014687500000000003</x:v>
      </x:c>
      <x:c r="F120" s="27" t="str"/>
      <x:c r="G120" s="27" t="n">
        <x:f>SUMIF(G113:G119, TRUE, E113:E119)</x:f>
        <x:v>0</x:v>
      </x:c>
      <x:c r="H120" s="26" t="str"/>
    </x:row>
    <x:row r="122">
      <x:c r="A122" s="4" t="str">
        <x:v>Task ID</x:v>
      </x:c>
      <x:c r="B122" s="4" t="str">
        <x:v>NOTIFAPI</x:v>
      </x:c>
      <x:c r="C122" s="4" t="str">
        <x:v>Task Name</x:v>
      </x:c>
      <x:c r="D122" s="4" t="str">
        <x:v>Notification API and Read-State Logic</x:v>
      </x:c>
      <x:c r="E122" s="4" t="str"/>
      <x:c r="F122" s="4" t="str">
        <x:v>planning/backlog</x:v>
      </x:c>
      <x:c r="G122" s="4" t="str"/>
      <x:c r="H122" s="4" t="str">
        <x:v>https://app.clickup.com/t/86d3bw6ja</x:v>
      </x:c>
    </x:row>
    <x:row r="123">
      <x:c r="A123" s="8" t="str">
        <x:v>Subtask ID</x:v>
      </x:c>
      <x:c r="B123" s="8" t="str">
        <x:v>Subtask / Task Name</x:v>
      </x:c>
      <x:c r="C123" s="8" t="str">
        <x:v>Acceptance Criteria</x:v>
      </x:c>
      <x:c r="D123" s="8" t="str">
        <x:v>Evidence / Deliverable</x:v>
      </x:c>
      <x:c r="E123" s="8" t="str">
        <x:v>Weight Allocation</x:v>
      </x:c>
      <x:c r="F123" s="8" t="str">
        <x:v>ClickUp Status</x:v>
      </x:c>
      <x:c r="G123" s="8" t="str">
        <x:v>Accepted</x:v>
      </x:c>
      <x:c r="H123" s="8" t="str">
        <x:v>ClickUp URL</x:v>
      </x:c>
    </x:row>
    <x:row r="124">
      <x:c r="A124" s="16" t="str">
        <x:v>REQ-01</x:v>
      </x:c>
      <x:c r="B124" s="16" t="str">
        <x:v>Define notification API requirements</x:v>
      </x:c>
      <x:c r="C124" s="16" t="str">
        <x:v>Given the PAULUS Define notification API requirements task is implemented, the feature should meet the approved capstone requirements and pass review against its expected behavior.</x:v>
      </x:c>
      <x:c r="D124" s="16" t="str">
        <x:v>ClickUp task evidence, implementation output, QA notes, screenshots, tests, or manuscript updates for Define notification API requirements.</x:v>
      </x:c>
      <x:c r="E124" s="18" t="n">
        <x:v>0.0020982142857142857</x:v>
      </x:c>
      <x:c r="F124" s="16" t="str">
        <x:v>planning/backlog</x:v>
      </x:c>
      <x:c r="G124" s="17" t="b">
        <x:v>0</x:v>
      </x:c>
      <x:c r="H124" s="16" t="str">
        <x:v>https://app.clickup.com/t/86d3bwpub</x:v>
      </x:c>
    </x:row>
    <x:row r="125">
      <x:c r="A125" s="16" t="str">
        <x:v>DES-01</x:v>
      </x:c>
      <x:c r="B125" s="16" t="str">
        <x:v>Design notification generation and read-state API flow</x:v>
      </x:c>
      <x:c r="C125" s="16" t="str">
        <x:v>Given the PAULUS Design notification generation and read-state API flow task is implemented, the feature should meet the approved capstone requirements and pass review against its expected behavior.</x:v>
      </x:c>
      <x:c r="D125" s="16" t="str">
        <x:v>ClickUp task evidence, implementation output, QA notes, screenshots, tests, or manuscript updates for Design notification generation and read-state API flow.</x:v>
      </x:c>
      <x:c r="E125" s="18" t="n">
        <x:v>0.0020982142857142857</x:v>
      </x:c>
      <x:c r="F125" s="16" t="str">
        <x:v>planning/backlog</x:v>
      </x:c>
      <x:c r="G125" s="17" t="b">
        <x:v>0</x:v>
      </x:c>
      <x:c r="H125" s="16" t="str">
        <x:v>https://app.clickup.com/t/86d3bwpv1</x:v>
      </x:c>
    </x:row>
    <x:row r="126">
      <x:c r="A126" s="16" t="str">
        <x:v>DEV-01</x:v>
      </x:c>
      <x:c r="B126" s="16" t="str">
        <x:v>Build notification generation and retrieval logic</x:v>
      </x:c>
      <x:c r="C126" s="16" t="str">
        <x:v>Given the PAULUS Build notification generation and retrieval logic task is implemented, the feature should meet the approved capstone requirements and pass review against its expected behavior.</x:v>
      </x:c>
      <x:c r="D126" s="16" t="str">
        <x:v>ClickUp task evidence, implementation output, QA notes, screenshots, tests, or manuscript updates for Build notification generation and retrieval logic.</x:v>
      </x:c>
      <x:c r="E126" s="18" t="n">
        <x:v>0.0020982142857142857</x:v>
      </x:c>
      <x:c r="F126" s="16" t="str">
        <x:v>planning/backlog</x:v>
      </x:c>
      <x:c r="G126" s="17" t="b">
        <x:v>0</x:v>
      </x:c>
      <x:c r="H126" s="16" t="str">
        <x:v>https://app.clickup.com/t/86d3bwpvt</x:v>
      </x:c>
    </x:row>
    <x:row r="127">
      <x:c r="A127" s="16" t="str">
        <x:v>TEST-01</x:v>
      </x:c>
      <x:c r="B127" s="16" t="str">
        <x:v>Test notification targeting and read-state updates</x:v>
      </x:c>
      <x:c r="C127" s="16" t="str">
        <x:v>Given the PAULUS Test notification targeting and read-state updates task is implemented, the feature should meet the approved capstone requirements and pass review against its expected behavior.</x:v>
      </x:c>
      <x:c r="D127" s="16" t="str">
        <x:v>ClickUp task evidence, implementation output, QA notes, screenshots, tests, or manuscript updates for Test notification targeting and read-state updates.</x:v>
      </x:c>
      <x:c r="E127" s="18" t="n">
        <x:v>0.0020982142857142857</x:v>
      </x:c>
      <x:c r="F127" s="16" t="str">
        <x:v>planning/backlog</x:v>
      </x:c>
      <x:c r="G127" s="17" t="b">
        <x:v>0</x:v>
      </x:c>
      <x:c r="H127" s="16" t="str">
        <x:v>https://app.clickup.com/t/86d3bwpww</x:v>
      </x:c>
    </x:row>
    <x:row r="128">
      <x:c r="A128" s="16" t="str">
        <x:v>FIX-01</x:v>
      </x:c>
      <x:c r="B128" s="16" t="str">
        <x:v>Resolve notification API issues</x:v>
      </x:c>
      <x:c r="C128" s="16" t="str">
        <x:v>Given the PAULUS Resolve notification API issues task is implemented, the feature should meet the approved capstone requirements and pass review against its expected behavior.</x:v>
      </x:c>
      <x:c r="D128" s="16" t="str">
        <x:v>ClickUp task evidence, implementation output, QA notes, screenshots, tests, or manuscript updates for Resolve notification API issues.</x:v>
      </x:c>
      <x:c r="E128" s="18" t="n">
        <x:v>0.0020982142857142857</x:v>
      </x:c>
      <x:c r="F128" s="16" t="str">
        <x:v>planning/backlog</x:v>
      </x:c>
      <x:c r="G128" s="17" t="b">
        <x:v>0</x:v>
      </x:c>
      <x:c r="H128" s="16" t="str">
        <x:v>https://app.clickup.com/t/86d3bwpxv</x:v>
      </x:c>
    </x:row>
    <x:row r="129">
      <x:c r="A129" s="16" t="str">
        <x:v>UAT-01</x:v>
      </x:c>
      <x:c r="B129" s="16" t="str">
        <x:v>Validate notification API with frontend workflow</x:v>
      </x:c>
      <x:c r="C129" s="16" t="str">
        <x:v>Given the PAULUS Validate notification API with frontend workflow task is implemented, the feature should meet the approved capstone requirements and pass review against its expected behavior.</x:v>
      </x:c>
      <x:c r="D129" s="16" t="str">
        <x:v>ClickUp task evidence, implementation output, QA notes, screenshots, tests, or manuscript updates for Validate notification API with frontend workflow.</x:v>
      </x:c>
      <x:c r="E129" s="18" t="n">
        <x:v>0.0020982142857142857</x:v>
      </x:c>
      <x:c r="F129" s="16" t="str">
        <x:v>planning/backlog</x:v>
      </x:c>
      <x:c r="G129" s="17" t="b">
        <x:v>0</x:v>
      </x:c>
      <x:c r="H129" s="16" t="str">
        <x:v>https://app.clickup.com/t/86d3bwq3v</x:v>
      </x:c>
    </x:row>
    <x:row r="130">
      <x:c r="A130" s="16" t="str">
        <x:v>MS-01</x:v>
      </x:c>
      <x:c r="B130" s="16" t="str">
        <x:v>Document notification API process</x:v>
      </x:c>
      <x:c r="C130" s="16" t="str">
        <x:v>Given the PAULUS Document notification API process task is implemented, the feature should meet the approved capstone requirements and pass review against its expected behavior.</x:v>
      </x:c>
      <x:c r="D130" s="16" t="str">
        <x:v>ClickUp task evidence, implementation output, QA notes, screenshots, tests, or manuscript updates for Document notification API process.</x:v>
      </x:c>
      <x:c r="E130" s="18" t="n">
        <x:v>0.0020982142857142857</x:v>
      </x:c>
      <x:c r="F130" s="16" t="str">
        <x:v>planning/backlog</x:v>
      </x:c>
      <x:c r="G130" s="17" t="b">
        <x:v>0</x:v>
      </x:c>
      <x:c r="H130" s="16" t="str">
        <x:v>https://app.clickup.com/t/86d3bwq4d</x:v>
      </x:c>
    </x:row>
    <x:row r="131">
      <x:c r="A131" s="26" t="str">
        <x:v>Total Accomplished</x:v>
      </x:c>
      <x:c r="B131" s="26" t="str"/>
      <x:c r="C131" s="26" t="str"/>
      <x:c r="D131" s="26" t="str"/>
      <x:c r="E131" s="27" t="n">
        <x:f>SUM(E124:E130)</x:f>
        <x:v>0.014687500000000003</x:v>
      </x:c>
      <x:c r="F131" s="27" t="str"/>
      <x:c r="G131" s="27" t="n">
        <x:f>SUMIF(G124:G130, TRUE, E124:E130)</x:f>
        <x:v>0</x:v>
      </x:c>
      <x:c r="H131" s="26" t="str"/>
    </x:row>
    <x:row r="133">
      <x:c r="A133" s="4" t="str">
        <x:v>Task ID</x:v>
      </x:c>
      <x:c r="B133" s="4" t="str">
        <x:v>ARCHIVEAPI</x:v>
      </x:c>
      <x:c r="C133" s="4" t="str">
        <x:v>Task Name</x:v>
      </x:c>
      <x:c r="D133" s="4" t="str">
        <x:v>Archive and Restore API</x:v>
      </x:c>
      <x:c r="E133" s="4" t="str"/>
      <x:c r="F133" s="4" t="str">
        <x:v>planning/backlog</x:v>
      </x:c>
      <x:c r="G133" s="4" t="str"/>
      <x:c r="H133" s="4" t="str">
        <x:v>https://app.clickup.com/t/86d3bw6kh</x:v>
      </x:c>
    </x:row>
    <x:row r="134">
      <x:c r="A134" s="8" t="str">
        <x:v>Subtask ID</x:v>
      </x:c>
      <x:c r="B134" s="8" t="str">
        <x:v>Subtask / Task Name</x:v>
      </x:c>
      <x:c r="C134" s="8" t="str">
        <x:v>Acceptance Criteria</x:v>
      </x:c>
      <x:c r="D134" s="8" t="str">
        <x:v>Evidence / Deliverable</x:v>
      </x:c>
      <x:c r="E134" s="8" t="str">
        <x:v>Weight Allocation</x:v>
      </x:c>
      <x:c r="F134" s="8" t="str">
        <x:v>ClickUp Status</x:v>
      </x:c>
      <x:c r="G134" s="8" t="str">
        <x:v>Accepted</x:v>
      </x:c>
      <x:c r="H134" s="8" t="str">
        <x:v>ClickUp URL</x:v>
      </x:c>
    </x:row>
    <x:row r="135">
      <x:c r="A135" s="16" t="str">
        <x:v>REQ-01</x:v>
      </x:c>
      <x:c r="B135" s="16" t="str">
        <x:v>Define archive API requirements</x:v>
      </x:c>
      <x:c r="C135" s="16" t="str">
        <x:v>Given the PAULUS Define archive API requirements task is implemented, the feature should meet the approved capstone requirements and pass review against its expected behavior.</x:v>
      </x:c>
      <x:c r="D135" s="16" t="str">
        <x:v>ClickUp task evidence, implementation output, QA notes, screenshots, tests, or manuscript updates for Define archive API requirements.</x:v>
      </x:c>
      <x:c r="E135" s="18" t="n">
        <x:v>0.0020982142857142857</x:v>
      </x:c>
      <x:c r="F135" s="16" t="str">
        <x:v>planning/backlog</x:v>
      </x:c>
      <x:c r="G135" s="17" t="b">
        <x:v>0</x:v>
      </x:c>
      <x:c r="H135" s="16" t="str">
        <x:v>https://app.clickup.com/t/86d3bwq9y</x:v>
      </x:c>
    </x:row>
    <x:row r="136">
      <x:c r="A136" s="16" t="str">
        <x:v>DES-01</x:v>
      </x:c>
      <x:c r="B136" s="16" t="str">
        <x:v>Design archive and restore API flow</x:v>
      </x:c>
      <x:c r="C136" s="16" t="str">
        <x:v>Given the PAULUS Design archive and restore API flow task is implemented, the feature should meet the approved capstone requirements and pass review against its expected behavior.</x:v>
      </x:c>
      <x:c r="D136" s="16" t="str">
        <x:v>ClickUp task evidence, implementation output, QA notes, screenshots, tests, or manuscript updates for Design archive and restore API flow.</x:v>
      </x:c>
      <x:c r="E136" s="18" t="n">
        <x:v>0.0020982142857142857</x:v>
      </x:c>
      <x:c r="F136" s="16" t="str">
        <x:v>planning/backlog</x:v>
      </x:c>
      <x:c r="G136" s="17" t="b">
        <x:v>0</x:v>
      </x:c>
      <x:c r="H136" s="16" t="str">
        <x:v>https://app.clickup.com/t/86d3bwqdq</x:v>
      </x:c>
    </x:row>
    <x:row r="137">
      <x:c r="A137" s="16" t="str">
        <x:v>DEV-01</x:v>
      </x:c>
      <x:c r="B137" s="16" t="str">
        <x:v>Build archive and restore API logic</x:v>
      </x:c>
      <x:c r="C137" s="16" t="str">
        <x:v>Given the PAULUS Build archive and restore API logic task is implemented, the feature should meet the approved capstone requirements and pass review against its expected behavior.</x:v>
      </x:c>
      <x:c r="D137" s="16" t="str">
        <x:v>ClickUp task evidence, implementation output, QA notes, screenshots, tests, or manuscript updates for Build archive and restore API logic.</x:v>
      </x:c>
      <x:c r="E137" s="18" t="n">
        <x:v>0.0020982142857142857</x:v>
      </x:c>
      <x:c r="F137" s="16" t="str">
        <x:v>planning/backlog</x:v>
      </x:c>
      <x:c r="G137" s="17" t="b">
        <x:v>0</x:v>
      </x:c>
      <x:c r="H137" s="16" t="str">
        <x:v>https://app.clickup.com/t/86d3bwqea</x:v>
      </x:c>
    </x:row>
    <x:row r="138">
      <x:c r="A138" s="16" t="str">
        <x:v>TEST-01</x:v>
      </x:c>
      <x:c r="B138" s="16" t="str">
        <x:v>Test archive permissions and restore behavior</x:v>
      </x:c>
      <x:c r="C138" s="16" t="str">
        <x:v>Given the PAULUS Test archive permissions and restore behavior task is implemented, the feature should meet the approved capstone requirements and pass review against its expected behavior.</x:v>
      </x:c>
      <x:c r="D138" s="16" t="str">
        <x:v>ClickUp task evidence, implementation output, QA notes, screenshots, tests, or manuscript updates for Test archive permissions and restore behavior.</x:v>
      </x:c>
      <x:c r="E138" s="18" t="n">
        <x:v>0.0020982142857142857</x:v>
      </x:c>
      <x:c r="F138" s="16" t="str">
        <x:v>planning/backlog</x:v>
      </x:c>
      <x:c r="G138" s="17" t="b">
        <x:v>0</x:v>
      </x:c>
      <x:c r="H138" s="16" t="str">
        <x:v>https://app.clickup.com/t/86d3bwqff</x:v>
      </x:c>
    </x:row>
    <x:row r="139">
      <x:c r="A139" s="16" t="str">
        <x:v>FIX-01</x:v>
      </x:c>
      <x:c r="B139" s="16" t="str">
        <x:v>Resolve archive API issues</x:v>
      </x:c>
      <x:c r="C139" s="16" t="str">
        <x:v>Given the PAULUS Resolve archive API issues task is implemented, the feature should meet the approved capstone requirements and pass review against its expected behavior.</x:v>
      </x:c>
      <x:c r="D139" s="16" t="str">
        <x:v>ClickUp task evidence, implementation output, QA notes, screenshots, tests, or manuscript updates for Resolve archive API issues.</x:v>
      </x:c>
      <x:c r="E139" s="18" t="n">
        <x:v>0.0020982142857142857</x:v>
      </x:c>
      <x:c r="F139" s="16" t="str">
        <x:v>planning/backlog</x:v>
      </x:c>
      <x:c r="G139" s="17" t="b">
        <x:v>0</x:v>
      </x:c>
      <x:c r="H139" s="16" t="str">
        <x:v>https://app.clickup.com/t/86d3bwqgd</x:v>
      </x:c>
    </x:row>
    <x:row r="140">
      <x:c r="A140" s="16" t="str">
        <x:v>UAT-01</x:v>
      </x:c>
      <x:c r="B140" s="16" t="str">
        <x:v>Validate archive API with frontend workflow</x:v>
      </x:c>
      <x:c r="C140" s="16" t="str">
        <x:v>Given the PAULUS Validate archive API with frontend workflow task is implemented, the feature should meet the approved capstone requirements and pass review against its expected behavior.</x:v>
      </x:c>
      <x:c r="D140" s="16" t="str">
        <x:v>ClickUp task evidence, implementation output, QA notes, screenshots, tests, or manuscript updates for Validate archive API with frontend workflow.</x:v>
      </x:c>
      <x:c r="E140" s="18" t="n">
        <x:v>0.0020982142857142857</x:v>
      </x:c>
      <x:c r="F140" s="16" t="str">
        <x:v>planning/backlog</x:v>
      </x:c>
      <x:c r="G140" s="17" t="b">
        <x:v>0</x:v>
      </x:c>
      <x:c r="H140" s="16" t="str">
        <x:v>https://app.clickup.com/t/86d3bwqgw</x:v>
      </x:c>
    </x:row>
    <x:row r="141">
      <x:c r="A141" s="16" t="str">
        <x:v>MS-01</x:v>
      </x:c>
      <x:c r="B141" s="16" t="str">
        <x:v>Document archive API process</x:v>
      </x:c>
      <x:c r="C141" s="16" t="str">
        <x:v>Given the PAULUS Document archive API process task is implemented, the feature should meet the approved capstone requirements and pass review against its expected behavior.</x:v>
      </x:c>
      <x:c r="D141" s="16" t="str">
        <x:v>ClickUp task evidence, implementation output, QA notes, screenshots, tests, or manuscript updates for Document archive API process.</x:v>
      </x:c>
      <x:c r="E141" s="18" t="n">
        <x:v>0.0020982142857142857</x:v>
      </x:c>
      <x:c r="F141" s="16" t="str">
        <x:v>planning/backlog</x:v>
      </x:c>
      <x:c r="G141" s="17" t="b">
        <x:v>0</x:v>
      </x:c>
      <x:c r="H141" s="16" t="str">
        <x:v>https://app.clickup.com/t/86d3bwqh9</x:v>
      </x:c>
    </x:row>
    <x:row r="142">
      <x:c r="A142" s="26" t="str">
        <x:v>Total Accomplished</x:v>
      </x:c>
      <x:c r="B142" s="26" t="str"/>
      <x:c r="C142" s="26" t="str"/>
      <x:c r="D142" s="26" t="str"/>
      <x:c r="E142" s="27" t="n">
        <x:f>SUM(E135:E141)</x:f>
        <x:v>0.014687500000000003</x:v>
      </x:c>
      <x:c r="F142" s="27" t="str"/>
      <x:c r="G142" s="27" t="n">
        <x:f>SUMIF(G135:G141, TRUE, E135:E141)</x:f>
        <x:v>0</x:v>
      </x:c>
      <x:c r="H142" s="26" t="str"/>
    </x:row>
    <x:row r="144">
      <x:c r="A144" s="4" t="str">
        <x:v>Task ID</x:v>
      </x:c>
      <x:c r="B144" s="4" t="str">
        <x:v>FINBACKUPAPI</x:v>
      </x:c>
      <x:c r="C144" s="4" t="str">
        <x:v>Task Name</x:v>
      </x:c>
      <x:c r="D144" s="4" t="str">
        <x:v>Financial Backup Input API</x:v>
      </x:c>
      <x:c r="E144" s="4" t="str"/>
      <x:c r="F144" s="4" t="str">
        <x:v>planning/backlog</x:v>
      </x:c>
      <x:c r="G144" s="4" t="str"/>
      <x:c r="H144" s="4" t="str">
        <x:v>https://app.clickup.com/t/86d3bw6rv</x:v>
      </x:c>
    </x:row>
    <x:row r="145">
      <x:c r="A145" s="8" t="str">
        <x:v>Subtask ID</x:v>
      </x:c>
      <x:c r="B145" s="8" t="str">
        <x:v>Subtask / Task Name</x:v>
      </x:c>
      <x:c r="C145" s="8" t="str">
        <x:v>Acceptance Criteria</x:v>
      </x:c>
      <x:c r="D145" s="8" t="str">
        <x:v>Evidence / Deliverable</x:v>
      </x:c>
      <x:c r="E145" s="8" t="str">
        <x:v>Weight Allocation</x:v>
      </x:c>
      <x:c r="F145" s="8" t="str">
        <x:v>ClickUp Status</x:v>
      </x:c>
      <x:c r="G145" s="8" t="str">
        <x:v>Accepted</x:v>
      </x:c>
      <x:c r="H145" s="8" t="str">
        <x:v>ClickUp URL</x:v>
      </x:c>
    </x:row>
    <x:row r="146">
      <x:c r="A146" s="16" t="str">
        <x:v>REQ-01</x:v>
      </x:c>
      <x:c r="B146" s="16" t="str">
        <x:v>Define financial backup input API requirements</x:v>
      </x:c>
      <x:c r="C146" s="16" t="str">
        <x:v>Given the PAULUS Define financial backup input API requirements task is implemented, the feature should meet the approved capstone requirements and pass review against its expected behavior.</x:v>
      </x:c>
      <x:c r="D146" s="16" t="str">
        <x:v>ClickUp task evidence, implementation output, QA notes, screenshots, tests, or manuscript updates for Define financial backup input API requirements.</x:v>
      </x:c>
      <x:c r="E146" s="18" t="n">
        <x:v>0.0020982142857142857</x:v>
      </x:c>
      <x:c r="F146" s="16" t="str">
        <x:v>planning/backlog</x:v>
      </x:c>
      <x:c r="G146" s="17" t="b">
        <x:v>0</x:v>
      </x:c>
      <x:c r="H146" s="16" t="str">
        <x:v>https://app.clickup.com/t/86d3bwqqm</x:v>
      </x:c>
    </x:row>
    <x:row r="147">
      <x:c r="A147" s="16" t="str">
        <x:v>DES-01</x:v>
      </x:c>
      <x:c r="B147" s="16" t="str">
        <x:v>Design backup upload and import endpoint flow</x:v>
      </x:c>
      <x:c r="C147" s="16" t="str">
        <x:v>Given the PAULUS Design backup upload and import endpoint flow task is implemented, the feature should meet the approved capstone requirements and pass review against its expected behavior.</x:v>
      </x:c>
      <x:c r="D147" s="16" t="str">
        <x:v>ClickUp task evidence, implementation output, QA notes, screenshots, tests, or manuscript updates for Design backup upload and import endpoint flow.</x:v>
      </x:c>
      <x:c r="E147" s="18" t="n">
        <x:v>0.0020982142857142857</x:v>
      </x:c>
      <x:c r="F147" s="16" t="str">
        <x:v>planning/backlog</x:v>
      </x:c>
      <x:c r="G147" s="17" t="b">
        <x:v>0</x:v>
      </x:c>
      <x:c r="H147" s="16" t="str">
        <x:v>https://app.clickup.com/t/86d3bwqr1</x:v>
      </x:c>
    </x:row>
    <x:row r="148">
      <x:c r="A148" s="16" t="str">
        <x:v>DEV-01</x:v>
      </x:c>
      <x:c r="B148" s="16" t="str">
        <x:v>Build backup upload and import endpoint</x:v>
      </x:c>
      <x:c r="C148" s="16" t="str">
        <x:v>Given the PAULUS Build backup upload and import endpoint task is implemented, the feature should meet the approved capstone requirements and pass review against its expected behavior.</x:v>
      </x:c>
      <x:c r="D148" s="16" t="str">
        <x:v>ClickUp task evidence, implementation output, QA notes, screenshots, tests, or manuscript updates for Build backup upload and import endpoint.</x:v>
      </x:c>
      <x:c r="E148" s="18" t="n">
        <x:v>0.0020982142857142857</x:v>
      </x:c>
      <x:c r="F148" s="16" t="str">
        <x:v>planning/backlog</x:v>
      </x:c>
      <x:c r="G148" s="17" t="b">
        <x:v>0</x:v>
      </x:c>
      <x:c r="H148" s="16" t="str">
        <x:v>https://app.clickup.com/t/86d3bwqru</x:v>
      </x:c>
    </x:row>
    <x:row r="149">
      <x:c r="A149" s="16" t="str">
        <x:v>TEST-01</x:v>
      </x:c>
      <x:c r="B149" s="16" t="str">
        <x:v>Test import errors, duplicates, and validation</x:v>
      </x:c>
      <x:c r="C149" s="16" t="str">
        <x:v>Given the PAULUS Test import errors, duplicates, and validation task is implemented, the feature should meet the approved capstone requirements and pass review against its expected behavior.</x:v>
      </x:c>
      <x:c r="D149" s="16" t="str">
        <x:v>ClickUp task evidence, implementation output, QA notes, screenshots, tests, or manuscript updates for Test import errors, duplicates, and validation.</x:v>
      </x:c>
      <x:c r="E149" s="18" t="n">
        <x:v>0.0020982142857142857</x:v>
      </x:c>
      <x:c r="F149" s="16" t="str">
        <x:v>planning/backlog</x:v>
      </x:c>
      <x:c r="G149" s="17" t="b">
        <x:v>0</x:v>
      </x:c>
      <x:c r="H149" s="16" t="str">
        <x:v>https://app.clickup.com/t/86d3bwqtn</x:v>
      </x:c>
    </x:row>
    <x:row r="150">
      <x:c r="A150" s="16" t="str">
        <x:v>FIX-01</x:v>
      </x:c>
      <x:c r="B150" s="16" t="str">
        <x:v>Resolve financial backup API issues</x:v>
      </x:c>
      <x:c r="C150" s="16" t="str">
        <x:v>Given the PAULUS Resolve financial backup API issues task is implemented, the feature should meet the approved capstone requirements and pass review against its expected behavior.</x:v>
      </x:c>
      <x:c r="D150" s="16" t="str">
        <x:v>ClickUp task evidence, implementation output, QA notes, screenshots, tests, or manuscript updates for Resolve financial backup API issues.</x:v>
      </x:c>
      <x:c r="E150" s="18" t="n">
        <x:v>0.0020982142857142857</x:v>
      </x:c>
      <x:c r="F150" s="16" t="str">
        <x:v>planning/backlog</x:v>
      </x:c>
      <x:c r="G150" s="17" t="b">
        <x:v>0</x:v>
      </x:c>
      <x:c r="H150" s="16" t="str">
        <x:v>https://app.clickup.com/t/86d3bwquh</x:v>
      </x:c>
    </x:row>
    <x:row r="151">
      <x:c r="A151" s="16" t="str">
        <x:v>UAT-01</x:v>
      </x:c>
      <x:c r="B151" s="16" t="str">
        <x:v>Validate financial backup API with upload workflow</x:v>
      </x:c>
      <x:c r="C151" s="16" t="str">
        <x:v>Given the PAULUS Validate financial backup API with upload workflow task is implemented, the feature should meet the approved capstone requirements and pass review against its expected behavior.</x:v>
      </x:c>
      <x:c r="D151" s="16" t="str">
        <x:v>ClickUp task evidence, implementation output, QA notes, screenshots, tests, or manuscript updates for Validate financial backup API with upload workflow.</x:v>
      </x:c>
      <x:c r="E151" s="18" t="n">
        <x:v>0.0020982142857142857</x:v>
      </x:c>
      <x:c r="F151" s="16" t="str">
        <x:v>planning/backlog</x:v>
      </x:c>
      <x:c r="G151" s="17" t="b">
        <x:v>0</x:v>
      </x:c>
      <x:c r="H151" s="16" t="str">
        <x:v>https://app.clickup.com/t/86d3bwqv9</x:v>
      </x:c>
    </x:row>
    <x:row r="152">
      <x:c r="A152" s="16" t="str">
        <x:v>MS-01</x:v>
      </x:c>
      <x:c r="B152" s="16" t="str">
        <x:v>Document financial backup input API process</x:v>
      </x:c>
      <x:c r="C152" s="16" t="str">
        <x:v>Given the PAULUS Document financial backup input API process task is implemented, the feature should meet the approved capstone requirements and pass review against its expected behavior.</x:v>
      </x:c>
      <x:c r="D152" s="16" t="str">
        <x:v>ClickUp task evidence, implementation output, QA notes, screenshots, tests, or manuscript updates for Document financial backup input API process.</x:v>
      </x:c>
      <x:c r="E152" s="18" t="n">
        <x:v>0.0020982142857142857</x:v>
      </x:c>
      <x:c r="F152" s="16" t="str">
        <x:v>planning/backlog</x:v>
      </x:c>
      <x:c r="G152" s="17" t="b">
        <x:v>0</x:v>
      </x:c>
      <x:c r="H152" s="16" t="str">
        <x:v>https://app.clickup.com/t/86d3bwqw4</x:v>
      </x:c>
    </x:row>
    <x:row r="153">
      <x:c r="A153" s="26" t="str">
        <x:v>Total Accomplished</x:v>
      </x:c>
      <x:c r="B153" s="26" t="str"/>
      <x:c r="C153" s="26" t="str"/>
      <x:c r="D153" s="26" t="str"/>
      <x:c r="E153" s="27" t="n">
        <x:f>SUM(E146:E152)</x:f>
        <x:v>0.014687500000000003</x:v>
      </x:c>
      <x:c r="F153" s="27" t="str"/>
      <x:c r="G153" s="27" t="n">
        <x:f>SUMIF(G146:G152, TRUE, E146:E152)</x:f>
        <x:v>0</x:v>
      </x:c>
      <x:c r="H153" s="26" t="str"/>
    </x:row>
    <x:row r="155">
      <x:c r="A155" s="4" t="str">
        <x:v>Task ID</x:v>
      </x:c>
      <x:c r="B155" s="4" t="str">
        <x:v>CHATAPI</x:v>
      </x:c>
      <x:c r="C155" s="4" t="str">
        <x:v>Task Name</x:v>
      </x:c>
      <x:c r="D155" s="4" t="str">
        <x:v>AI Chatbot API</x:v>
      </x:c>
      <x:c r="E155" s="4" t="str"/>
      <x:c r="F155" s="4" t="str">
        <x:v>planning/backlog</x:v>
      </x:c>
      <x:c r="G155" s="4" t="str"/>
      <x:c r="H155" s="4" t="str">
        <x:v>https://app.clickup.com/t/86d38tg1f</x:v>
      </x:c>
    </x:row>
    <x:row r="156">
      <x:c r="A156" s="8" t="str">
        <x:v>Subtask ID</x:v>
      </x:c>
      <x:c r="B156" s="8" t="str">
        <x:v>Subtask / Task Name</x:v>
      </x:c>
      <x:c r="C156" s="8" t="str">
        <x:v>Acceptance Criteria</x:v>
      </x:c>
      <x:c r="D156" s="8" t="str">
        <x:v>Evidence / Deliverable</x:v>
      </x:c>
      <x:c r="E156" s="8" t="str">
        <x:v>Weight Allocation</x:v>
      </x:c>
      <x:c r="F156" s="8" t="str">
        <x:v>ClickUp Status</x:v>
      </x:c>
      <x:c r="G156" s="8" t="str">
        <x:v>Accepted</x:v>
      </x:c>
      <x:c r="H156" s="8" t="str">
        <x:v>ClickUp URL</x:v>
      </x:c>
    </x:row>
    <x:row r="157">
      <x:c r="A157" s="16" t="str">
        <x:v>REQ-01</x:v>
      </x:c>
      <x:c r="B157" s="16" t="str">
        <x:v>Define AI chatbot API requirements</x:v>
      </x:c>
      <x:c r="C157" s="16" t="str">
        <x:v>Given the PAULUS Define AI chatbot API requirements task is implemented, the feature should meet the approved capstone requirements and pass review against its expected behavior.</x:v>
      </x:c>
      <x:c r="D157" s="16" t="str">
        <x:v>ClickUp task evidence, implementation output, QA notes, screenshots, tests, or manuscript updates for Define AI chatbot API requirements.</x:v>
      </x:c>
      <x:c r="E157" s="18" t="n">
        <x:v>0.0024479166666666664</x:v>
      </x:c>
      <x:c r="F157" s="16" t="str">
        <x:v>standardized subtask - URL pending</x:v>
      </x:c>
      <x:c r="G157" s="17" t="b">
        <x:v>0</x:v>
      </x:c>
      <x:c r="H157" s="16" t="str"/>
    </x:row>
    <x:row r="158">
      <x:c r="A158" s="16" t="str">
        <x:v>DES-01</x:v>
      </x:c>
      <x:c r="B158" s="16" t="str">
        <x:v>Design AI chatbot API structure and workflow</x:v>
      </x:c>
      <x:c r="C158" s="16" t="str">
        <x:v>Given the PAULUS Design AI chatbot API structure and workflow task is implemented, the feature should meet the approved capstone requirements and pass review against its expected behavior.</x:v>
      </x:c>
      <x:c r="D158" s="16" t="str">
        <x:v>ClickUp task evidence, implementation output, QA notes, screenshots, tests, or manuscript updates for Design AI chatbot API structure and workflow.</x:v>
      </x:c>
      <x:c r="E158" s="18" t="n">
        <x:v>0.0024479166666666664</x:v>
      </x:c>
      <x:c r="F158" s="16" t="str">
        <x:v>standardized subtask - URL pending</x:v>
      </x:c>
      <x:c r="G158" s="17" t="b">
        <x:v>0</x:v>
      </x:c>
      <x:c r="H158" s="16" t="str"/>
    </x:row>
    <x:row r="159">
      <x:c r="A159" s="16" t="str">
        <x:v>DEV-01</x:v>
      </x:c>
      <x:c r="B159" s="16" t="str">
        <x:v>Implement AI chatbot API baseline functionality</x:v>
      </x:c>
      <x:c r="C159" s="16" t="str">
        <x:v>Given the PAULUS Implement AI chatbot API baseline functionality task is implemented, the feature should meet the approved capstone requirements and pass review against its expected behavior.</x:v>
      </x:c>
      <x:c r="D159" s="16" t="str">
        <x:v>ClickUp task evidence, implementation output, QA notes, screenshots, tests, or manuscript updates for Implement AI chatbot API baseline functionality.</x:v>
      </x:c>
      <x:c r="E159" s="18" t="n">
        <x:v>0.0024479166666666664</x:v>
      </x:c>
      <x:c r="F159" s="16" t="str">
        <x:v>standardized subtask - URL pending</x:v>
      </x:c>
      <x:c r="G159" s="17" t="b">
        <x:v>0</x:v>
      </x:c>
      <x:c r="H159" s="16" t="str"/>
    </x:row>
    <x:row r="160">
      <x:c r="A160" s="16" t="str">
        <x:v>TEST-01</x:v>
      </x:c>
      <x:c r="B160" s="16" t="str">
        <x:v>Test AI chatbot API behavior and outputs</x:v>
      </x:c>
      <x:c r="C160" s="16" t="str">
        <x:v>Given the PAULUS Test AI chatbot API behavior and outputs task is implemented, the feature should meet the approved capstone requirements and pass review against its expected behavior.</x:v>
      </x:c>
      <x:c r="D160" s="16" t="str">
        <x:v>ClickUp task evidence, implementation output, QA notes, screenshots, tests, or manuscript updates for Test AI chatbot API behavior and outputs.</x:v>
      </x:c>
      <x:c r="E160" s="18" t="n">
        <x:v>0.0024479166666666664</x:v>
      </x:c>
      <x:c r="F160" s="16" t="str">
        <x:v>standardized subtask - URL pending</x:v>
      </x:c>
      <x:c r="G160" s="17" t="b">
        <x:v>0</x:v>
      </x:c>
      <x:c r="H160" s="16" t="str"/>
    </x:row>
    <x:row r="161">
      <x:c r="A161" s="16" t="str">
        <x:v>FIX-01</x:v>
      </x:c>
      <x:c r="B161" s="16" t="str">
        <x:v>Resolve AI chatbot API issues</x:v>
      </x:c>
      <x:c r="C161" s="16" t="str">
        <x:v>Given the PAULUS Resolve AI chatbot API issues task is implemented, the feature should meet the approved capstone requirements and pass review against its expected behavior.</x:v>
      </x:c>
      <x:c r="D161" s="16" t="str">
        <x:v>ClickUp task evidence, implementation output, QA notes, screenshots, tests, or manuscript updates for Resolve AI chatbot API issues.</x:v>
      </x:c>
      <x:c r="E161" s="18" t="n">
        <x:v>0.0024479166666666664</x:v>
      </x:c>
      <x:c r="F161" s="16" t="str">
        <x:v>standardized subtask - URL pending</x:v>
      </x:c>
      <x:c r="G161" s="17" t="b">
        <x:v>0</x:v>
      </x:c>
      <x:c r="H161" s="16" t="str"/>
    </x:row>
    <x:row r="162">
      <x:c r="A162" s="16" t="str">
        <x:v>MS-01</x:v>
      </x:c>
      <x:c r="B162" s="16" t="str">
        <x:v>Document AI chatbot API in Chapter 4</x:v>
      </x:c>
      <x:c r="C162" s="16" t="str">
        <x:v>Given the PAULUS Document AI chatbot API in Chapter 4 task is implemented, the feature should meet the approved capstone requirements and pass review against its expected behavior.</x:v>
      </x:c>
      <x:c r="D162" s="16" t="str">
        <x:v>ClickUp task evidence, implementation output, QA notes, screenshots, tests, or manuscript updates for Document AI chatbot API in Chapter 4.</x:v>
      </x:c>
      <x:c r="E162" s="18" t="n">
        <x:v>0.0024479166666666664</x:v>
      </x:c>
      <x:c r="F162" s="16" t="str">
        <x:v>standardized subtask - URL pending</x:v>
      </x:c>
      <x:c r="G162" s="17" t="b">
        <x:v>0</x:v>
      </x:c>
      <x:c r="H162" s="16" t="str"/>
    </x:row>
    <x:row r="163">
      <x:c r="A163" s="26" t="str">
        <x:v>Total Accomplished</x:v>
      </x:c>
      <x:c r="B163" s="26" t="str"/>
      <x:c r="C163" s="26" t="str"/>
      <x:c r="D163" s="26" t="str"/>
      <x:c r="E163" s="27" t="n">
        <x:f>SUM(E157:E162)</x:f>
        <x:v>0.014687499999999997</x:v>
      </x:c>
      <x:c r="F163" s="27" t="str"/>
      <x:c r="G163" s="27" t="n">
        <x:f>SUMIF(G157:G162, TRUE, E157:E162)</x:f>
        <x:v>0</x:v>
      </x:c>
      <x:c r="H163" s="26" t="str"/>
    </x:row>
    <x:row r="165">
      <x:c r="A165" s="4" t="str">
        <x:v>Task ID</x:v>
      </x:c>
      <x:c r="B165" s="4" t="str">
        <x:v>PRSTAPI</x:v>
      </x:c>
      <x:c r="C165" s="4" t="str">
        <x:v>Task Name</x:v>
      </x:c>
      <x:c r="D165" s="4" t="str">
        <x:v>Priest Health Records API</x:v>
      </x:c>
      <x:c r="E165" s="4" t="str"/>
      <x:c r="F165" s="4" t="str">
        <x:v>in progress</x:v>
      </x:c>
      <x:c r="G165" s="4" t="str"/>
      <x:c r="H165" s="4" t="str">
        <x:v>https://app.clickup.com/t/86d38tg03</x:v>
      </x:c>
    </x:row>
    <x:row r="166">
      <x:c r="A166" s="8" t="str">
        <x:v>Subtask ID</x:v>
      </x:c>
      <x:c r="B166" s="8" t="str">
        <x:v>Subtask / Task Name</x:v>
      </x:c>
      <x:c r="C166" s="8" t="str">
        <x:v>Acceptance Criteria</x:v>
      </x:c>
      <x:c r="D166" s="8" t="str">
        <x:v>Evidence / Deliverable</x:v>
      </x:c>
      <x:c r="E166" s="8" t="str">
        <x:v>Weight Allocation</x:v>
      </x:c>
      <x:c r="F166" s="8" t="str">
        <x:v>ClickUp Status</x:v>
      </x:c>
      <x:c r="G166" s="8" t="str">
        <x:v>Accepted</x:v>
      </x:c>
      <x:c r="H166" s="8" t="str">
        <x:v>ClickUp URL</x:v>
      </x:c>
    </x:row>
    <x:row r="167">
      <x:c r="A167" s="16" t="str">
        <x:v>REQ-01</x:v>
      </x:c>
      <x:c r="B167" s="16" t="str">
        <x:v>Define priest health records API requirements</x:v>
      </x:c>
      <x:c r="C167" s="16" t="str">
        <x:v>Given the PAULUS Define priest health records API requirements task is implemented, the feature should meet the approved capstone requirements and pass review against its expected behavior.</x:v>
      </x:c>
      <x:c r="D167" s="16" t="str">
        <x:v>ClickUp task evidence, implementation output, QA notes, screenshots, tests, or manuscript updates for Define priest health records API requirements.</x:v>
      </x:c>
      <x:c r="E167" s="18" t="n">
        <x:v>0.0016319444444444443</x:v>
      </x:c>
      <x:c r="F167" s="16" t="str">
        <x:v>planning/backlog</x:v>
      </x:c>
      <x:c r="G167" s="17" t="b">
        <x:v>0</x:v>
      </x:c>
      <x:c r="H167" s="16" t="str">
        <x:v>https://app.clickup.com/t/86d39085p</x:v>
      </x:c>
    </x:row>
    <x:row r="168">
      <x:c r="A168" s="16" t="str">
        <x:v>DES-01</x:v>
      </x:c>
      <x:c r="B168" s="16" t="str">
        <x:v>Design priest health API structure</x:v>
      </x:c>
      <x:c r="C168" s="16" t="str">
        <x:v>Given the PAULUS Design priest health API structure task is implemented, the feature should meet the approved capstone requirements and pass review against its expected behavior.</x:v>
      </x:c>
      <x:c r="D168" s="16" t="str">
        <x:v>ClickUp task evidence, implementation output, QA notes, screenshots, tests, or manuscript updates for Design priest health API structure.</x:v>
      </x:c>
      <x:c r="E168" s="18" t="n">
        <x:v>0.0016319444444444443</x:v>
      </x:c>
      <x:c r="F168" s="16" t="str">
        <x:v>planning/backlog</x:v>
      </x:c>
      <x:c r="G168" s="17" t="b">
        <x:v>0</x:v>
      </x:c>
      <x:c r="H168" s="16" t="str">
        <x:v>https://app.clickup.com/t/86d39086r</x:v>
      </x:c>
    </x:row>
    <x:row r="169">
      <x:c r="A169" s="16" t="str">
        <x:v>DEV-01</x:v>
      </x:c>
      <x:c r="B169" s="16" t="str">
        <x:v>Implement priest health record endpoint</x:v>
      </x:c>
      <x:c r="C169" s="16" t="str">
        <x:v>Given the PAULUS Implement priest health record endpoint task is implemented, the feature should meet the approved capstone requirements and pass review against its expected behavior.</x:v>
      </x:c>
      <x:c r="D169" s="16" t="str">
        <x:v>ClickUp task evidence, implementation output, QA notes, screenshots, tests, or manuscript updates for Implement priest health record endpoint.</x:v>
      </x:c>
      <x:c r="E169" s="18" t="n">
        <x:v>0.0016319444444444443</x:v>
      </x:c>
      <x:c r="F169" s="16" t="str">
        <x:v>planning/backlog</x:v>
      </x:c>
      <x:c r="G169" s="17" t="b">
        <x:v>0</x:v>
      </x:c>
      <x:c r="H169" s="16" t="str">
        <x:v>https://app.clickup.com/t/86d39087w</x:v>
      </x:c>
    </x:row>
    <x:row r="170">
      <x:c r="A170" s="16" t="str">
        <x:v>DEV-02</x:v>
      </x:c>
      <x:c r="B170" s="16" t="str">
        <x:v>Implement health record update endpoint</x:v>
      </x:c>
      <x:c r="C170" s="16" t="str">
        <x:v>Given the PAULUS Implement health record update endpoint task is implemented, the feature should meet the approved capstone requirements and pass review against its expected behavior.</x:v>
      </x:c>
      <x:c r="D170" s="16" t="str">
        <x:v>ClickUp task evidence, implementation output, QA notes, screenshots, tests, or manuscript updates for Implement health record update endpoint.</x:v>
      </x:c>
      <x:c r="E170" s="18" t="n">
        <x:v>0.0016319444444444443</x:v>
      </x:c>
      <x:c r="F170" s="16" t="str">
        <x:v>planning/backlog</x:v>
      </x:c>
      <x:c r="G170" s="17" t="b">
        <x:v>0</x:v>
      </x:c>
      <x:c r="H170" s="16" t="str">
        <x:v>https://app.clickup.com/t/86d390899</x:v>
      </x:c>
    </x:row>
    <x:row r="171">
      <x:c r="A171" s="16" t="str">
        <x:v>DEV-03</x:v>
      </x:c>
      <x:c r="B171" s="16" t="str">
        <x:v>Implement priest health validation logic</x:v>
      </x:c>
      <x:c r="C171" s="16" t="str">
        <x:v>Given the PAULUS Implement priest health validation logic task is implemented, the feature should meet the approved capstone requirements and pass review against its expected behavior.</x:v>
      </x:c>
      <x:c r="D171" s="16" t="str">
        <x:v>ClickUp task evidence, implementation output, QA notes, screenshots, tests, or manuscript updates for Implement priest health validation logic.</x:v>
      </x:c>
      <x:c r="E171" s="18" t="n">
        <x:v>0.0016319444444444443</x:v>
      </x:c>
      <x:c r="F171" s="16" t="str">
        <x:v>planning/backlog</x:v>
      </x:c>
      <x:c r="G171" s="17" t="b">
        <x:v>0</x:v>
      </x:c>
      <x:c r="H171" s="16" t="str">
        <x:v>https://app.clickup.com/t/86d3908pc</x:v>
      </x:c>
    </x:row>
    <x:row r="172">
      <x:c r="A172" s="16" t="str">
        <x:v>TEST-01</x:v>
      </x:c>
      <x:c r="B172" s="16" t="str">
        <x:v>Test priest health API requests and responses</x:v>
      </x:c>
      <x:c r="C172" s="16" t="str">
        <x:v>Given the PAULUS Test priest health API requests and responses task is implemented, the feature should meet the approved capstone requirements and pass review against its expected behavior.</x:v>
      </x:c>
      <x:c r="D172" s="16" t="str">
        <x:v>ClickUp task evidence, implementation output, QA notes, screenshots, tests, or manuscript updates for Test priest health API requests and responses.</x:v>
      </x:c>
      <x:c r="E172" s="18" t="n">
        <x:v>0.0016319444444444443</x:v>
      </x:c>
      <x:c r="F172" s="16" t="str">
        <x:v>planning/backlog</x:v>
      </x:c>
      <x:c r="G172" s="17" t="b">
        <x:v>0</x:v>
      </x:c>
      <x:c r="H172" s="16" t="str">
        <x:v>https://app.clickup.com/t/86d3908vc</x:v>
      </x:c>
    </x:row>
    <x:row r="173">
      <x:c r="A173" s="16" t="str">
        <x:v>FIX-01</x:v>
      </x:c>
      <x:c r="B173" s="16" t="str">
        <x:v>Resolve priest health API errors</x:v>
      </x:c>
      <x:c r="C173" s="16" t="str">
        <x:v>Given the PAULUS Resolve priest health API errors task is implemented, the feature should meet the approved capstone requirements and pass review against its expected behavior.</x:v>
      </x:c>
      <x:c r="D173" s="16" t="str">
        <x:v>ClickUp task evidence, implementation output, QA notes, screenshots, tests, or manuscript updates for Resolve priest health API errors.</x:v>
      </x:c>
      <x:c r="E173" s="18" t="n">
        <x:v>0.0016319444444444443</x:v>
      </x:c>
      <x:c r="F173" s="16" t="str">
        <x:v>planning/backlog</x:v>
      </x:c>
      <x:c r="G173" s="17" t="b">
        <x:v>0</x:v>
      </x:c>
      <x:c r="H173" s="16" t="str">
        <x:v>https://app.clickup.com/t/86d3908yc</x:v>
      </x:c>
    </x:row>
    <x:row r="174">
      <x:c r="A174" s="16" t="str">
        <x:v>UAT-01</x:v>
      </x:c>
      <x:c r="B174" s="16" t="str">
        <x:v>Validate priest health API with target users</x:v>
      </x:c>
      <x:c r="C174" s="16" t="str">
        <x:v>Given the PAULUS Validate priest health API with target users task is implemented, the feature should meet the approved capstone requirements and pass review against its expected behavior.</x:v>
      </x:c>
      <x:c r="D174" s="16" t="str">
        <x:v>ClickUp task evidence, implementation output, QA notes, screenshots, tests, or manuscript updates for Validate priest health API with target users.</x:v>
      </x:c>
      <x:c r="E174" s="18" t="n">
        <x:v>0.0016319444444444443</x:v>
      </x:c>
      <x:c r="F174" s="16" t="str">
        <x:v>planning/backlog</x:v>
      </x:c>
      <x:c r="G174" s="17" t="b">
        <x:v>0</x:v>
      </x:c>
      <x:c r="H174" s="16" t="str">
        <x:v>https://app.clickup.com/t/86d39091e</x:v>
      </x:c>
    </x:row>
    <x:row r="175">
      <x:c r="A175" s="16" t="str">
        <x:v>MS-01</x:v>
      </x:c>
      <x:c r="B175" s="16" t="str">
        <x:v>Document priest health API process</x:v>
      </x:c>
      <x:c r="C175" s="16" t="str">
        <x:v>Given the PAULUS Document priest health API process task is implemented, the feature should meet the approved capstone requirements and pass review against its expected behavior.</x:v>
      </x:c>
      <x:c r="D175" s="16" t="str">
        <x:v>ClickUp task evidence, implementation output, QA notes, screenshots, tests, or manuscript updates for Document priest health API process.</x:v>
      </x:c>
      <x:c r="E175" s="18" t="n">
        <x:v>0.0016319444444444443</x:v>
      </x:c>
      <x:c r="F175" s="16" t="str">
        <x:v>planning/backlog</x:v>
      </x:c>
      <x:c r="G175" s="17" t="b">
        <x:v>0</x:v>
      </x:c>
      <x:c r="H175" s="16" t="str">
        <x:v>https://app.clickup.com/t/86d39099u</x:v>
      </x:c>
    </x:row>
    <x:row r="176">
      <x:c r="A176" s="26" t="str">
        <x:v>Total Accomplished</x:v>
      </x:c>
      <x:c r="B176" s="26" t="str"/>
      <x:c r="C176" s="26" t="str"/>
      <x:c r="D176" s="26" t="str"/>
      <x:c r="E176" s="27" t="n">
        <x:f>SUM(E167:E175)</x:f>
        <x:v>0.0146875</x:v>
      </x:c>
      <x:c r="F176" s="27" t="str"/>
      <x:c r="G176" s="27" t="n">
        <x:f>SUMIF(G167:G175, TRUE, E167:E175)</x:f>
        <x:v>0</x:v>
      </x:c>
      <x:c r="H176" s="26" t="str"/>
    </x:row>
    <x:row r="178">
      <x:c r="A178" s="4" t="str">
        <x:v>Task ID</x:v>
      </x:c>
      <x:c r="B178" s="4" t="str">
        <x:v>AUDIT</x:v>
      </x:c>
      <x:c r="C178" s="4" t="str">
        <x:v>Task Name</x:v>
      </x:c>
      <x:c r="D178" s="4" t="str">
        <x:v>Audit Trail and Activity Log API</x:v>
      </x:c>
      <x:c r="E178" s="4" t="str"/>
      <x:c r="F178" s="4" t="str">
        <x:v>ready for work</x:v>
      </x:c>
      <x:c r="G178" s="4" t="str"/>
      <x:c r="H178" s="4" t="str">
        <x:v>https://app.clickup.com/t/86d38tg1r</x:v>
      </x:c>
    </x:row>
    <x:row r="179">
      <x:c r="A179" s="8" t="str">
        <x:v>Subtask ID</x:v>
      </x:c>
      <x:c r="B179" s="8" t="str">
        <x:v>Subtask / Task Name</x:v>
      </x:c>
      <x:c r="C179" s="8" t="str">
        <x:v>Acceptance Criteria</x:v>
      </x:c>
      <x:c r="D179" s="8" t="str">
        <x:v>Evidence / Deliverable</x:v>
      </x:c>
      <x:c r="E179" s="8" t="str">
        <x:v>Weight Allocation</x:v>
      </x:c>
      <x:c r="F179" s="8" t="str">
        <x:v>ClickUp Status</x:v>
      </x:c>
      <x:c r="G179" s="8" t="str">
        <x:v>Accepted</x:v>
      </x:c>
      <x:c r="H179" s="8" t="str">
        <x:v>ClickUp URL</x:v>
      </x:c>
    </x:row>
    <x:row r="180">
      <x:c r="A180" s="16" t="str">
        <x:v>REQ-01</x:v>
      </x:c>
      <x:c r="B180" s="16" t="str">
        <x:v>Define audit trail and activity log API requirements</x:v>
      </x:c>
      <x:c r="C180" s="16" t="str">
        <x:v>Given the PAULUS Define audit trail and activity log API requirements task is implemented, the feature should meet the approved capstone requirements and pass review against its expected behavior.</x:v>
      </x:c>
      <x:c r="D180" s="16" t="str">
        <x:v>ClickUp task evidence, implementation output, QA notes, screenshots, tests, or manuscript updates for Define audit trail and activity log API requirements.</x:v>
      </x:c>
      <x:c r="E180" s="18" t="n">
        <x:v>0.0024479166666666664</x:v>
      </x:c>
      <x:c r="F180" s="16" t="str">
        <x:v>standardized subtask - URL pending</x:v>
      </x:c>
      <x:c r="G180" s="17" t="b">
        <x:v>0</x:v>
      </x:c>
      <x:c r="H180" s="16" t="str"/>
    </x:row>
    <x:row r="181">
      <x:c r="A181" s="16" t="str">
        <x:v>DES-01</x:v>
      </x:c>
      <x:c r="B181" s="16" t="str">
        <x:v>Design audit trail and activity log API structure and workflow</x:v>
      </x:c>
      <x:c r="C181" s="16" t="str">
        <x:v>Given the PAULUS Design audit trail and activity log API structure and workflow task is implemented, the feature should meet the approved capstone requirements and pass review against its expected behavior.</x:v>
      </x:c>
      <x:c r="D181" s="16" t="str">
        <x:v>ClickUp task evidence, implementation output, QA notes, screenshots, tests, or manuscript updates for Design audit trail and activity log API structure and workflow.</x:v>
      </x:c>
      <x:c r="E181" s="18" t="n">
        <x:v>0.0024479166666666664</x:v>
      </x:c>
      <x:c r="F181" s="16" t="str">
        <x:v>standardized subtask - URL pending</x:v>
      </x:c>
      <x:c r="G181" s="17" t="b">
        <x:v>0</x:v>
      </x:c>
      <x:c r="H181" s="16" t="str"/>
    </x:row>
    <x:row r="182">
      <x:c r="A182" s="16" t="str">
        <x:v>DEV-01</x:v>
      </x:c>
      <x:c r="B182" s="16" t="str">
        <x:v>Implement audit trail and activity log API baseline functionality</x:v>
      </x:c>
      <x:c r="C182" s="16" t="str">
        <x:v>Given the PAULUS Implement audit trail and activity log API baseline functionality task is implemented, the feature should meet the approved capstone requirements and pass review against its expected behavior.</x:v>
      </x:c>
      <x:c r="D182" s="16" t="str">
        <x:v>ClickUp task evidence, implementation output, QA notes, screenshots, tests, or manuscript updates for Implement audit trail and activity log API baseline functionality.</x:v>
      </x:c>
      <x:c r="E182" s="18" t="n">
        <x:v>0.0024479166666666664</x:v>
      </x:c>
      <x:c r="F182" s="16" t="str">
        <x:v>standardized subtask - URL pending</x:v>
      </x:c>
      <x:c r="G182" s="17" t="b">
        <x:v>0</x:v>
      </x:c>
      <x:c r="H182" s="16" t="str"/>
    </x:row>
    <x:row r="183">
      <x:c r="A183" s="16" t="str">
        <x:v>TEST-01</x:v>
      </x:c>
      <x:c r="B183" s="16" t="str">
        <x:v>Test audit trail and activity log API behavior and outputs</x:v>
      </x:c>
      <x:c r="C183" s="16" t="str">
        <x:v>Given the PAULUS Test audit trail and activity log API behavior and outputs task is implemented, the feature should meet the approved capstone requirements and pass review against its expected behavior.</x:v>
      </x:c>
      <x:c r="D183" s="16" t="str">
        <x:v>ClickUp task evidence, implementation output, QA notes, screenshots, tests, or manuscript updates for Test audit trail and activity log API behavior and outputs.</x:v>
      </x:c>
      <x:c r="E183" s="18" t="n">
        <x:v>0.0024479166666666664</x:v>
      </x:c>
      <x:c r="F183" s="16" t="str">
        <x:v>standardized subtask - URL pending</x:v>
      </x:c>
      <x:c r="G183" s="17" t="b">
        <x:v>0</x:v>
      </x:c>
      <x:c r="H183" s="16" t="str"/>
    </x:row>
    <x:row r="184">
      <x:c r="A184" s="16" t="str">
        <x:v>FIX-01</x:v>
      </x:c>
      <x:c r="B184" s="16" t="str">
        <x:v>Resolve audit trail and activity log API issues</x:v>
      </x:c>
      <x:c r="C184" s="16" t="str">
        <x:v>Given the PAULUS Resolve audit trail and activity log API issues task is implemented, the feature should meet the approved capstone requirements and pass review against its expected behavior.</x:v>
      </x:c>
      <x:c r="D184" s="16" t="str">
        <x:v>ClickUp task evidence, implementation output, QA notes, screenshots, tests, or manuscript updates for Resolve audit trail and activity log API issues.</x:v>
      </x:c>
      <x:c r="E184" s="18" t="n">
        <x:v>0.0024479166666666664</x:v>
      </x:c>
      <x:c r="F184" s="16" t="str">
        <x:v>standardized subtask - URL pending</x:v>
      </x:c>
      <x:c r="G184" s="17" t="b">
        <x:v>0</x:v>
      </x:c>
      <x:c r="H184" s="16" t="str"/>
    </x:row>
    <x:row r="185">
      <x:c r="A185" s="16" t="str">
        <x:v>MS-01</x:v>
      </x:c>
      <x:c r="B185" s="16" t="str">
        <x:v>Document audit trail and activity log API in Chapter 4</x:v>
      </x:c>
      <x:c r="C185" s="16" t="str">
        <x:v>Given the PAULUS Document audit trail and activity log API in Chapter 4 task is implemented, the feature should meet the approved capstone requirements and pass review against its expected behavior.</x:v>
      </x:c>
      <x:c r="D185" s="16" t="str">
        <x:v>ClickUp task evidence, implementation output, QA notes, screenshots, tests, or manuscript updates for Document audit trail and activity log API in Chapter 4.</x:v>
      </x:c>
      <x:c r="E185" s="18" t="n">
        <x:v>0.0024479166666666664</x:v>
      </x:c>
      <x:c r="F185" s="16" t="str">
        <x:v>standardized subtask - URL pending</x:v>
      </x:c>
      <x:c r="G185" s="17" t="b">
        <x:v>0</x:v>
      </x:c>
      <x:c r="H185" s="16" t="str"/>
    </x:row>
    <x:row r="186">
      <x:c r="A186" s="26" t="str">
        <x:v>Total Accomplished</x:v>
      </x:c>
      <x:c r="B186" s="26" t="str"/>
      <x:c r="C186" s="26" t="str"/>
      <x:c r="D186" s="26" t="str"/>
      <x:c r="E186" s="27" t="n">
        <x:f>SUM(E180:E185)</x:f>
        <x:v>0.014687499999999997</x:v>
      </x:c>
      <x:c r="F186" s="27" t="str"/>
      <x:c r="G186" s="27" t="n">
        <x:f>SUMIF(G180:G185, TRUE, E180:E185)</x:f>
        <x:v>0</x:v>
      </x:c>
      <x:c r="H186" s="26" t="str"/>
    </x:row>
    <x:row r="189">
      <x:c r="A189" s="34" t="str">
        <x:v>Module Accomplishment</x:v>
      </x:c>
      <x:c r="B189" s="34" t="str">
        <x:v>MOD-BE</x:v>
      </x:c>
      <x:c r="C189" s="34" t="str">
        <x:v>Backend and API Services</x:v>
      </x:c>
      <x:c r="D189" s="34" t="str"/>
      <x:c r="E189" s="35" t="n">
        <x:v>0.235</x:v>
      </x:c>
      <x:c r="F189" s="35" t="str"/>
      <x:c r="G189" s="35" t="n">
        <x:f>SUM('MOD-BE'!G12,'MOD-BE'!G24,'MOD-BE'!G37,'MOD-BE'!G49,'MOD-BE'!G62,'MOD-BE'!G75,'MOD-BE'!G88,'MOD-BE'!G98,'MOD-BE'!G109,'MOD-BE'!G120,'MOD-BE'!G131,'MOD-BE'!G142,'MOD-BE'!G153,'MOD-BE'!G163,'MOD-BE'!G176,'MOD-BE'!G186)</x:f>
        <x:v>0</x:v>
      </x:c>
      <x:c r="H189" s="34" t="str"/>
    </x:row>
  </x:sheetData>
  <x:dataValidations count="16">
    <x:dataValidation type="list" sqref="G3:G11">
      <x:formula1>"TRUE,FALSE"</x:formula1>
    </x:dataValidation>
    <x:dataValidation type="list" sqref="G16:G23">
      <x:formula1>"TRUE,FALSE"</x:formula1>
    </x:dataValidation>
    <x:dataValidation type="list" sqref="G28:G36">
      <x:formula1>"TRUE,FALSE"</x:formula1>
    </x:dataValidation>
    <x:dataValidation type="list" sqref="G41:G48">
      <x:formula1>"TRUE,FALSE"</x:formula1>
    </x:dataValidation>
    <x:dataValidation type="list" sqref="G53:G61">
      <x:formula1>"TRUE,FALSE"</x:formula1>
    </x:dataValidation>
    <x:dataValidation type="list" sqref="G66:G74">
      <x:formula1>"TRUE,FALSE"</x:formula1>
    </x:dataValidation>
    <x:dataValidation type="list" sqref="G79:G87">
      <x:formula1>"TRUE,FALSE"</x:formula1>
    </x:dataValidation>
    <x:dataValidation type="list" sqref="G92:G97">
      <x:formula1>"TRUE,FALSE"</x:formula1>
    </x:dataValidation>
    <x:dataValidation type="list" sqref="G102:G108">
      <x:formula1>"TRUE,FALSE"</x:formula1>
    </x:dataValidation>
    <x:dataValidation type="list" sqref="G113:G119">
      <x:formula1>"TRUE,FALSE"</x:formula1>
    </x:dataValidation>
    <x:dataValidation type="list" sqref="G124:G130">
      <x:formula1>"TRUE,FALSE"</x:formula1>
    </x:dataValidation>
    <x:dataValidation type="list" sqref="G135:G141">
      <x:formula1>"TRUE,FALSE"</x:formula1>
    </x:dataValidation>
    <x:dataValidation type="list" sqref="G146:G152">
      <x:formula1>"TRUE,FALSE"</x:formula1>
    </x:dataValidation>
    <x:dataValidation type="list" sqref="G157:G162">
      <x:formula1>"TRUE,FALSE"</x:formula1>
    </x:dataValidation>
    <x:dataValidation type="list" sqref="G167:G175">
      <x:formula1>"TRUE,FALSE"</x:formula1>
    </x:dataValidation>
    <x:dataValidation type="list" sqref="G180:G185">
      <x:formula1>"TRUE,FALSE"</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32.5" hidden="0" customWidth="1"/>
    <x:col min="3" max="3" width="47.5" hidden="0" customWidth="1"/>
    <x:col min="4" max="4" width="42.5" hidden="0" customWidth="1"/>
    <x:col min="5" max="5" width="15" hidden="0" customWidth="1"/>
    <x:col min="6" max="6" width="16.8799991607666" hidden="0" customWidth="1"/>
    <x:col min="7" max="7" width="16.8799991607666" hidden="0" customWidth="1"/>
    <x:col min="8" max="8" width="28.75" hidden="0" customWidth="1"/>
  </x:cols>
  <x:sheetData>
    <x:row r="1">
      <x:c r="A1" s="4" t="str">
        <x:v>Task ID</x:v>
      </x:c>
      <x:c r="B1" s="4" t="str">
        <x:v>USERDB</x:v>
      </x:c>
      <x:c r="C1" s="4" t="str">
        <x:v>Task Name</x:v>
      </x:c>
      <x:c r="D1" s="4" t="str">
        <x:v>User and Role Tables</x:v>
      </x:c>
      <x:c r="E1" s="4" t="str"/>
      <x:c r="F1" s="4" t="str">
        <x:v>in progress</x:v>
      </x:c>
      <x:c r="G1" s="4" t="str"/>
      <x:c r="H1" s="4" t="str">
        <x:v>https://app.clickup.com/t/86d38tf0b</x:v>
      </x:c>
    </x:row>
    <x:row r="2">
      <x:c r="A2" s="8" t="str">
        <x:v>Subtask ID</x:v>
      </x:c>
      <x:c r="B2" s="8" t="str">
        <x:v>Subtask / Task Name</x:v>
      </x:c>
      <x:c r="C2" s="8" t="str">
        <x:v>Acceptance Criteria</x:v>
      </x:c>
      <x:c r="D2" s="8" t="str">
        <x:v>Evidence / Deliverable</x:v>
      </x:c>
      <x:c r="E2" s="8" t="str">
        <x:v>Weight Allocation</x:v>
      </x:c>
      <x:c r="F2" s="8" t="str">
        <x:v>ClickUp Status</x:v>
      </x:c>
      <x:c r="G2" s="8" t="str">
        <x:v>Accepted</x:v>
      </x:c>
      <x:c r="H2" s="8" t="str">
        <x:v>ClickUp URL</x:v>
      </x:c>
    </x:row>
    <x:row r="3">
      <x:c r="A3" s="16" t="str">
        <x:v>REQ-01</x:v>
      </x:c>
      <x:c r="B3" s="16" t="str">
        <x:v>Define user and role tables requirements</x:v>
      </x:c>
      <x:c r="C3" s="16" t="str">
        <x:v>Given the PAULUS Define user and role tables requirements task is implemented, the feature should meet the approved capstone requirements and pass review against its expected behavior.</x:v>
      </x:c>
      <x:c r="D3" s="16" t="str">
        <x:v>ClickUp task evidence, implementation output, QA notes, screenshots, tests, or manuscript updates for Define user and role tables requirements.</x:v>
      </x:c>
      <x:c r="E3" s="18" t="n">
        <x:v>0.0013333333333333333</x:v>
      </x:c>
      <x:c r="F3" s="16" t="str">
        <x:v>standardized subtask - URL pending</x:v>
      </x:c>
      <x:c r="G3" s="17" t="b">
        <x:v>0</x:v>
      </x:c>
      <x:c r="H3" s="16" t="str"/>
    </x:row>
    <x:row r="4">
      <x:c r="A4" s="16" t="str">
        <x:v>DES-01</x:v>
      </x:c>
      <x:c r="B4" s="16" t="str">
        <x:v>Design user and role tables structure and workflow</x:v>
      </x:c>
      <x:c r="C4" s="16" t="str">
        <x:v>Given the PAULUS Design user and role tables structure and workflow task is implemented, the feature should meet the approved capstone requirements and pass review against its expected behavior.</x:v>
      </x:c>
      <x:c r="D4" s="16" t="str">
        <x:v>ClickUp task evidence, implementation output, QA notes, screenshots, tests, or manuscript updates for Design user and role tables structure and workflow.</x:v>
      </x:c>
      <x:c r="E4" s="18" t="n">
        <x:v>0.0013333333333333333</x:v>
      </x:c>
      <x:c r="F4" s="16" t="str">
        <x:v>standardized subtask - URL pending</x:v>
      </x:c>
      <x:c r="G4" s="17" t="b">
        <x:v>0</x:v>
      </x:c>
      <x:c r="H4" s="16" t="str"/>
    </x:row>
    <x:row r="5">
      <x:c r="A5" s="16" t="str">
        <x:v>DEV-01</x:v>
      </x:c>
      <x:c r="B5" s="16" t="str">
        <x:v>Implement user and role tables baseline functionality</x:v>
      </x:c>
      <x:c r="C5" s="16" t="str">
        <x:v>Given the PAULUS Implement user and role tables baseline functionality task is implemented, the feature should meet the approved capstone requirements and pass review against its expected behavior.</x:v>
      </x:c>
      <x:c r="D5" s="16" t="str">
        <x:v>ClickUp task evidence, implementation output, QA notes, screenshots, tests, or manuscript updates for Implement user and role tables baseline functionality.</x:v>
      </x:c>
      <x:c r="E5" s="18" t="n">
        <x:v>0.0013333333333333333</x:v>
      </x:c>
      <x:c r="F5" s="16" t="str">
        <x:v>standardized subtask - URL pending</x:v>
      </x:c>
      <x:c r="G5" s="17" t="b">
        <x:v>0</x:v>
      </x:c>
      <x:c r="H5" s="16" t="str"/>
    </x:row>
    <x:row r="6">
      <x:c r="A6" s="16" t="str">
        <x:v>TEST-01</x:v>
      </x:c>
      <x:c r="B6" s="16" t="str">
        <x:v>Test user and role tables behavior and outputs</x:v>
      </x:c>
      <x:c r="C6" s="16" t="str">
        <x:v>Given the PAULUS Test user and role tables behavior and outputs task is implemented, the feature should meet the approved capstone requirements and pass review against its expected behavior.</x:v>
      </x:c>
      <x:c r="D6" s="16" t="str">
        <x:v>ClickUp task evidence, implementation output, QA notes, screenshots, tests, or manuscript updates for Test user and role tables behavior and outputs.</x:v>
      </x:c>
      <x:c r="E6" s="18" t="n">
        <x:v>0.0013333333333333333</x:v>
      </x:c>
      <x:c r="F6" s="16" t="str">
        <x:v>standardized subtask - URL pending</x:v>
      </x:c>
      <x:c r="G6" s="17" t="b">
        <x:v>0</x:v>
      </x:c>
      <x:c r="H6" s="16" t="str"/>
    </x:row>
    <x:row r="7">
      <x:c r="A7" s="16" t="str">
        <x:v>FIX-01</x:v>
      </x:c>
      <x:c r="B7" s="16" t="str">
        <x:v>Resolve user and role tables issues</x:v>
      </x:c>
      <x:c r="C7" s="16" t="str">
        <x:v>Given the PAULUS Resolve user and role tables issues task is implemented, the feature should meet the approved capstone requirements and pass review against its expected behavior.</x:v>
      </x:c>
      <x:c r="D7" s="16" t="str">
        <x:v>ClickUp task evidence, implementation output, QA notes, screenshots, tests, or manuscript updates for Resolve user and role tables issues.</x:v>
      </x:c>
      <x:c r="E7" s="18" t="n">
        <x:v>0.0013333333333333333</x:v>
      </x:c>
      <x:c r="F7" s="16" t="str">
        <x:v>standardized subtask - URL pending</x:v>
      </x:c>
      <x:c r="G7" s="17" t="b">
        <x:v>0</x:v>
      </x:c>
      <x:c r="H7" s="16" t="str"/>
    </x:row>
    <x:row r="8">
      <x:c r="A8" s="16" t="str">
        <x:v>MS-01</x:v>
      </x:c>
      <x:c r="B8" s="16" t="str">
        <x:v>Document user and role tables in Chapter 3</x:v>
      </x:c>
      <x:c r="C8" s="16" t="str">
        <x:v>Given the PAULUS Document user and role tables in Chapter 3 task is implemented, the feature should meet the approved capstone requirements and pass review against its expected behavior.</x:v>
      </x:c>
      <x:c r="D8" s="16" t="str">
        <x:v>ClickUp task evidence, implementation output, QA notes, screenshots, tests, or manuscript updates for Document user and role tables in Chapter 3.</x:v>
      </x:c>
      <x:c r="E8" s="18" t="n">
        <x:v>0.0013333333333333333</x:v>
      </x:c>
      <x:c r="F8" s="16" t="str">
        <x:v>standardized subtask - URL pending</x:v>
      </x:c>
      <x:c r="G8" s="17" t="b">
        <x:v>0</x:v>
      </x:c>
      <x:c r="H8" s="16" t="str"/>
    </x:row>
    <x:row r="9">
      <x:c r="A9" s="26" t="str">
        <x:v>Total Accomplished</x:v>
      </x:c>
      <x:c r="B9" s="26" t="str"/>
      <x:c r="C9" s="26" t="str"/>
      <x:c r="D9" s="26" t="str"/>
      <x:c r="E9" s="27" t="n">
        <x:f>SUM(E3:E8)</x:f>
        <x:v>0.008</x:v>
      </x:c>
      <x:c r="F9" s="27" t="str"/>
      <x:c r="G9" s="27" t="n">
        <x:f>SUMIF(G3:G8, TRUE, E3:E8)</x:f>
        <x:v>0</x:v>
      </x:c>
      <x:c r="H9" s="26" t="str"/>
    </x:row>
    <x:row r="11">
      <x:c r="A11" s="4" t="str">
        <x:v>Task ID</x:v>
      </x:c>
      <x:c r="B11" s="4" t="str">
        <x:v>INSTDB</x:v>
      </x:c>
      <x:c r="C11" s="4" t="str">
        <x:v>Task Name</x:v>
      </x:c>
      <x:c r="D11" s="4" t="str">
        <x:v>Institution Tables</x:v>
      </x:c>
      <x:c r="E11" s="4" t="str"/>
      <x:c r="F11" s="4" t="str">
        <x:v>in progress</x:v>
      </x:c>
      <x:c r="G11" s="4" t="str"/>
      <x:c r="H11" s="4" t="str">
        <x:v>https://app.clickup.com/t/86d38tf2u</x:v>
      </x:c>
    </x:row>
    <x:row r="12">
      <x:c r="A12" s="8" t="str">
        <x:v>Subtask ID</x:v>
      </x:c>
      <x:c r="B12" s="8" t="str">
        <x:v>Subtask / Task Name</x:v>
      </x:c>
      <x:c r="C12" s="8" t="str">
        <x:v>Acceptance Criteria</x:v>
      </x:c>
      <x:c r="D12" s="8" t="str">
        <x:v>Evidence / Deliverable</x:v>
      </x:c>
      <x:c r="E12" s="8" t="str">
        <x:v>Weight Allocation</x:v>
      </x:c>
      <x:c r="F12" s="8" t="str">
        <x:v>ClickUp Status</x:v>
      </x:c>
      <x:c r="G12" s="8" t="str">
        <x:v>Accepted</x:v>
      </x:c>
      <x:c r="H12" s="8" t="str">
        <x:v>ClickUp URL</x:v>
      </x:c>
    </x:row>
    <x:row r="13">
      <x:c r="A13" s="16" t="str">
        <x:v>REQ-01</x:v>
      </x:c>
      <x:c r="B13" s="16" t="str">
        <x:v>Define institution tables requirements</x:v>
      </x:c>
      <x:c r="C13" s="16" t="str">
        <x:v>Given the PAULUS Define institution tables requirements task is implemented, the feature should meet the approved capstone requirements and pass review against its expected behavior.</x:v>
      </x:c>
      <x:c r="D13" s="16" t="str">
        <x:v>ClickUp task evidence, implementation output, QA notes, screenshots, tests, or manuscript updates for Define institution tables requirements.</x:v>
      </x:c>
      <x:c r="E13" s="18" t="n">
        <x:v>0.0013333333333333333</x:v>
      </x:c>
      <x:c r="F13" s="16" t="str">
        <x:v>standardized subtask - URL pending</x:v>
      </x:c>
      <x:c r="G13" s="17" t="b">
        <x:v>0</x:v>
      </x:c>
      <x:c r="H13" s="16" t="str"/>
    </x:row>
    <x:row r="14">
      <x:c r="A14" s="16" t="str">
        <x:v>DES-01</x:v>
      </x:c>
      <x:c r="B14" s="16" t="str">
        <x:v>Design institution tables structure and workflow</x:v>
      </x:c>
      <x:c r="C14" s="16" t="str">
        <x:v>Given the PAULUS Design institution tables structure and workflow task is implemented, the feature should meet the approved capstone requirements and pass review against its expected behavior.</x:v>
      </x:c>
      <x:c r="D14" s="16" t="str">
        <x:v>ClickUp task evidence, implementation output, QA notes, screenshots, tests, or manuscript updates for Design institution tables structure and workflow.</x:v>
      </x:c>
      <x:c r="E14" s="18" t="n">
        <x:v>0.0013333333333333333</x:v>
      </x:c>
      <x:c r="F14" s="16" t="str">
        <x:v>standardized subtask - URL pending</x:v>
      </x:c>
      <x:c r="G14" s="17" t="b">
        <x:v>0</x:v>
      </x:c>
      <x:c r="H14" s="16" t="str"/>
    </x:row>
    <x:row r="15">
      <x:c r="A15" s="16" t="str">
        <x:v>DEV-01</x:v>
      </x:c>
      <x:c r="B15" s="16" t="str">
        <x:v>Implement institution tables baseline functionality</x:v>
      </x:c>
      <x:c r="C15" s="16" t="str">
        <x:v>Given the PAULUS Implement institution tables baseline functionality task is implemented, the feature should meet the approved capstone requirements and pass review against its expected behavior.</x:v>
      </x:c>
      <x:c r="D15" s="16" t="str">
        <x:v>ClickUp task evidence, implementation output, QA notes, screenshots, tests, or manuscript updates for Implement institution tables baseline functionality.</x:v>
      </x:c>
      <x:c r="E15" s="18" t="n">
        <x:v>0.0013333333333333333</x:v>
      </x:c>
      <x:c r="F15" s="16" t="str">
        <x:v>standardized subtask - URL pending</x:v>
      </x:c>
      <x:c r="G15" s="17" t="b">
        <x:v>0</x:v>
      </x:c>
      <x:c r="H15" s="16" t="str"/>
    </x:row>
    <x:row r="16">
      <x:c r="A16" s="16" t="str">
        <x:v>TEST-01</x:v>
      </x:c>
      <x:c r="B16" s="16" t="str">
        <x:v>Test institution tables behavior and outputs</x:v>
      </x:c>
      <x:c r="C16" s="16" t="str">
        <x:v>Given the PAULUS Test institution tables behavior and outputs task is implemented, the feature should meet the approved capstone requirements and pass review against its expected behavior.</x:v>
      </x:c>
      <x:c r="D16" s="16" t="str">
        <x:v>ClickUp task evidence, implementation output, QA notes, screenshots, tests, or manuscript updates for Test institution tables behavior and outputs.</x:v>
      </x:c>
      <x:c r="E16" s="18" t="n">
        <x:v>0.0013333333333333333</x:v>
      </x:c>
      <x:c r="F16" s="16" t="str">
        <x:v>standardized subtask - URL pending</x:v>
      </x:c>
      <x:c r="G16" s="17" t="b">
        <x:v>0</x:v>
      </x:c>
      <x:c r="H16" s="16" t="str"/>
    </x:row>
    <x:row r="17">
      <x:c r="A17" s="16" t="str">
        <x:v>FIX-01</x:v>
      </x:c>
      <x:c r="B17" s="16" t="str">
        <x:v>Resolve institution tables issues</x:v>
      </x:c>
      <x:c r="C17" s="16" t="str">
        <x:v>Given the PAULUS Resolve institution tables issues task is implemented, the feature should meet the approved capstone requirements and pass review against its expected behavior.</x:v>
      </x:c>
      <x:c r="D17" s="16" t="str">
        <x:v>ClickUp task evidence, implementation output, QA notes, screenshots, tests, or manuscript updates for Resolve institution tables issues.</x:v>
      </x:c>
      <x:c r="E17" s="18" t="n">
        <x:v>0.0013333333333333333</x:v>
      </x:c>
      <x:c r="F17" s="16" t="str">
        <x:v>standardized subtask - URL pending</x:v>
      </x:c>
      <x:c r="G17" s="17" t="b">
        <x:v>0</x:v>
      </x:c>
      <x:c r="H17" s="16" t="str"/>
    </x:row>
    <x:row r="18">
      <x:c r="A18" s="16" t="str">
        <x:v>MS-01</x:v>
      </x:c>
      <x:c r="B18" s="16" t="str">
        <x:v>Document institution tables in Chapter 3</x:v>
      </x:c>
      <x:c r="C18" s="16" t="str">
        <x:v>Given the PAULUS Document institution tables in Chapter 3 task is implemented, the feature should meet the approved capstone requirements and pass review against its expected behavior.</x:v>
      </x:c>
      <x:c r="D18" s="16" t="str">
        <x:v>ClickUp task evidence, implementation output, QA notes, screenshots, tests, or manuscript updates for Document institution tables in Chapter 3.</x:v>
      </x:c>
      <x:c r="E18" s="18" t="n">
        <x:v>0.0013333333333333333</x:v>
      </x:c>
      <x:c r="F18" s="16" t="str">
        <x:v>standardized subtask - URL pending</x:v>
      </x:c>
      <x:c r="G18" s="17" t="b">
        <x:v>0</x:v>
      </x:c>
      <x:c r="H18" s="16" t="str"/>
    </x:row>
    <x:row r="19">
      <x:c r="A19" s="26" t="str">
        <x:v>Total Accomplished</x:v>
      </x:c>
      <x:c r="B19" s="26" t="str"/>
      <x:c r="C19" s="26" t="str"/>
      <x:c r="D19" s="26" t="str"/>
      <x:c r="E19" s="27" t="n">
        <x:f>SUM(E13:E18)</x:f>
        <x:v>0.008</x:v>
      </x:c>
      <x:c r="F19" s="27" t="str"/>
      <x:c r="G19" s="27" t="n">
        <x:f>SUMIF(G13:G18, TRUE, E13:E18)</x:f>
        <x:v>0</x:v>
      </x:c>
      <x:c r="H19" s="26" t="str"/>
    </x:row>
    <x:row r="21">
      <x:c r="A21" s="4" t="str">
        <x:v>Task ID</x:v>
      </x:c>
      <x:c r="B21" s="4" t="str">
        <x:v>IAFRDB</x:v>
      </x:c>
      <x:c r="C21" s="4" t="str">
        <x:v>Task Name</x:v>
      </x:c>
      <x:c r="D21" s="4" t="str">
        <x:v>IAFR Data Tables</x:v>
      </x:c>
      <x:c r="E21" s="4" t="str"/>
      <x:c r="F21" s="4" t="str">
        <x:v>in progress</x:v>
      </x:c>
      <x:c r="G21" s="4" t="str"/>
      <x:c r="H21" s="4" t="str">
        <x:v>https://app.clickup.com/t/86d38tf3c</x:v>
      </x:c>
    </x:row>
    <x:row r="22">
      <x:c r="A22" s="8" t="str">
        <x:v>Subtask ID</x:v>
      </x:c>
      <x:c r="B22" s="8" t="str">
        <x:v>Subtask / Task Name</x:v>
      </x:c>
      <x:c r="C22" s="8" t="str">
        <x:v>Acceptance Criteria</x:v>
      </x:c>
      <x:c r="D22" s="8" t="str">
        <x:v>Evidence / Deliverable</x:v>
      </x:c>
      <x:c r="E22" s="8" t="str">
        <x:v>Weight Allocation</x:v>
      </x:c>
      <x:c r="F22" s="8" t="str">
        <x:v>ClickUp Status</x:v>
      </x:c>
      <x:c r="G22" s="8" t="str">
        <x:v>Accepted</x:v>
      </x:c>
      <x:c r="H22" s="8" t="str">
        <x:v>ClickUp URL</x:v>
      </x:c>
    </x:row>
    <x:row r="23">
      <x:c r="A23" s="16" t="str">
        <x:v>REQ-01</x:v>
      </x:c>
      <x:c r="B23" s="16" t="str">
        <x:v>Define IAFR database field requirements</x:v>
      </x:c>
      <x:c r="C23" s="16" t="str">
        <x:v>Given the PAULUS Define IAFR database field requirements task is implemented, the feature should meet the approved capstone requirements and pass review against its expected behavior.</x:v>
      </x:c>
      <x:c r="D23" s="16" t="str">
        <x:v>ClickUp task evidence, implementation output, QA notes, screenshots, tests, or manuscript updates for Define IAFR database field requirements.</x:v>
      </x:c>
      <x:c r="E23" s="18" t="n">
        <x:v>0.001</x:v>
      </x:c>
      <x:c r="F23" s="16" t="str">
        <x:v>planning/backlog</x:v>
      </x:c>
      <x:c r="G23" s="17" t="b">
        <x:v>0</x:v>
      </x:c>
      <x:c r="H23" s="16" t="str">
        <x:v>https://app.clickup.com/t/86d38zu1h</x:v>
      </x:c>
    </x:row>
    <x:row r="24">
      <x:c r="A24" s="16" t="str">
        <x:v>DES-01</x:v>
      </x:c>
      <x:c r="B24" s="16" t="str">
        <x:v>Design IAFR table structure</x:v>
      </x:c>
      <x:c r="C24" s="16" t="str">
        <x:v>Given the PAULUS Design IAFR table structure task is implemented, the feature should meet the approved capstone requirements and pass review against its expected behavior.</x:v>
      </x:c>
      <x:c r="D24" s="16" t="str">
        <x:v>ClickUp task evidence, implementation output, QA notes, screenshots, tests, or manuscript updates for Design IAFR table structure.</x:v>
      </x:c>
      <x:c r="E24" s="18" t="n">
        <x:v>0.001</x:v>
      </x:c>
      <x:c r="F24" s="16" t="str">
        <x:v>planning/backlog</x:v>
      </x:c>
      <x:c r="G24" s="17" t="b">
        <x:v>0</x:v>
      </x:c>
      <x:c r="H24" s="16" t="str">
        <x:v>https://app.clickup.com/t/86d38zu32</x:v>
      </x:c>
    </x:row>
    <x:row r="25">
      <x:c r="A25" s="16" t="str">
        <x:v>DEV-01</x:v>
      </x:c>
      <x:c r="B25" s="16" t="str">
        <x:v>Create IAFR tables</x:v>
      </x:c>
      <x:c r="C25" s="16" t="str">
        <x:v>Given the PAULUS Create IAFR tables task is implemented, the feature should meet the approved capstone requirements and pass review against its expected behavior.</x:v>
      </x:c>
      <x:c r="D25" s="16" t="str">
        <x:v>ClickUp task evidence, implementation output, QA notes, screenshots, tests, or manuscript updates for Create IAFR tables.</x:v>
      </x:c>
      <x:c r="E25" s="18" t="n">
        <x:v>0.001</x:v>
      </x:c>
      <x:c r="F25" s="16" t="str">
        <x:v>planning/backlog</x:v>
      </x:c>
      <x:c r="G25" s="17" t="b">
        <x:v>0</x:v>
      </x:c>
      <x:c r="H25" s="16" t="str">
        <x:v>https://app.clickup.com/t/86d38zu4u</x:v>
      </x:c>
    </x:row>
    <x:row r="26">
      <x:c r="A26" s="16" t="str">
        <x:v>DEV-02</x:v>
      </x:c>
      <x:c r="B26" s="16" t="str">
        <x:v>Configure IAFR validation constraints</x:v>
      </x:c>
      <x:c r="C26" s="16" t="str">
        <x:v>Given the PAULUS Configure IAFR validation constraints task is implemented, the feature should meet the approved capstone requirements and pass review against its expected behavior.</x:v>
      </x:c>
      <x:c r="D26" s="16" t="str">
        <x:v>ClickUp task evidence, implementation output, QA notes, screenshots, tests, or manuscript updates for Configure IAFR validation constraints.</x:v>
      </x:c>
      <x:c r="E26" s="18" t="n">
        <x:v>0.001</x:v>
      </x:c>
      <x:c r="F26" s="16" t="str">
        <x:v>planning/backlog</x:v>
      </x:c>
      <x:c r="G26" s="17" t="b">
        <x:v>0</x:v>
      </x:c>
      <x:c r="H26" s="16" t="str">
        <x:v>https://app.clickup.com/t/86d38zu7n</x:v>
      </x:c>
    </x:row>
    <x:row r="27">
      <x:c r="A27" s="16" t="str">
        <x:v>DEV-03</x:v>
      </x:c>
      <x:c r="B27" s="16" t="str">
        <x:v>Configure IAFR relationships with institution tables</x:v>
      </x:c>
      <x:c r="C27" s="16" t="str">
        <x:v>Given the PAULUS Configure IAFR relationships with institution tables task is implemented, the feature should meet the approved capstone requirements and pass review against its expected behavior.</x:v>
      </x:c>
      <x:c r="D27" s="16" t="str">
        <x:v>ClickUp task evidence, implementation output, QA notes, screenshots, tests, or manuscript updates for Configure IAFR relationships with institution tables.</x:v>
      </x:c>
      <x:c r="E27" s="18" t="n">
        <x:v>0.001</x:v>
      </x:c>
      <x:c r="F27" s="16" t="str">
        <x:v>planning/backlog</x:v>
      </x:c>
      <x:c r="G27" s="17" t="b">
        <x:v>0</x:v>
      </x:c>
      <x:c r="H27" s="16" t="str">
        <x:v>https://app.clickup.com/t/86d38zvuq</x:v>
      </x:c>
    </x:row>
    <x:row r="28">
      <x:c r="A28" s="16" t="str">
        <x:v>TEST-01</x:v>
      </x:c>
      <x:c r="B28" s="16" t="str">
        <x:v>Test IAFR data storage and retrieval</x:v>
      </x:c>
      <x:c r="C28" s="16" t="str">
        <x:v>Given the PAULUS Test IAFR data storage and retrieval task is implemented, the feature should meet the approved capstone requirements and pass review against its expected behavior.</x:v>
      </x:c>
      <x:c r="D28" s="16" t="str">
        <x:v>ClickUp task evidence, implementation output, QA notes, screenshots, tests, or manuscript updates for Test IAFR data storage and retrieval.</x:v>
      </x:c>
      <x:c r="E28" s="18" t="n">
        <x:v>0.001</x:v>
      </x:c>
      <x:c r="F28" s="16" t="str">
        <x:v>planning/backlog</x:v>
      </x:c>
      <x:c r="G28" s="17" t="b">
        <x:v>0</x:v>
      </x:c>
      <x:c r="H28" s="16" t="str">
        <x:v>https://app.clickup.com/t/86d38zvwv</x:v>
      </x:c>
    </x:row>
    <x:row r="29">
      <x:c r="A29" s="16" t="str">
        <x:v>FIX-01</x:v>
      </x:c>
      <x:c r="B29" s="16" t="str">
        <x:v>Resolve IAFR database errors</x:v>
      </x:c>
      <x:c r="C29" s="16" t="str">
        <x:v>Given the PAULUS Resolve IAFR database errors task is implemented, the feature should meet the approved capstone requirements and pass review against its expected behavior.</x:v>
      </x:c>
      <x:c r="D29" s="16" t="str">
        <x:v>ClickUp task evidence, implementation output, QA notes, screenshots, tests, or manuscript updates for Resolve IAFR database errors.</x:v>
      </x:c>
      <x:c r="E29" s="18" t="n">
        <x:v>0.001</x:v>
      </x:c>
      <x:c r="F29" s="16" t="str">
        <x:v>planning/backlog</x:v>
      </x:c>
      <x:c r="G29" s="17" t="b">
        <x:v>0</x:v>
      </x:c>
      <x:c r="H29" s="16" t="str">
        <x:v>https://app.clickup.com/t/86d38zvym</x:v>
      </x:c>
    </x:row>
    <x:row r="30">
      <x:c r="A30" s="16" t="str">
        <x:v>MS-01</x:v>
      </x:c>
      <x:c r="B30" s="16" t="str">
        <x:v>Document IAFR database structure</x:v>
      </x:c>
      <x:c r="C30" s="16" t="str">
        <x:v>Given the PAULUS Document IAFR database structure task is implemented, the feature should meet the approved capstone requirements and pass review against its expected behavior.</x:v>
      </x:c>
      <x:c r="D30" s="16" t="str">
        <x:v>ClickUp task evidence, implementation output, QA notes, screenshots, tests, or manuscript updates for Document IAFR database structure.</x:v>
      </x:c>
      <x:c r="E30" s="18" t="n">
        <x:v>0.001</x:v>
      </x:c>
      <x:c r="F30" s="16" t="str">
        <x:v>planning/backlog</x:v>
      </x:c>
      <x:c r="G30" s="17" t="b">
        <x:v>0</x:v>
      </x:c>
      <x:c r="H30" s="16" t="str">
        <x:v>https://app.clickup.com/t/86d38zw0b</x:v>
      </x:c>
    </x:row>
    <x:row r="31">
      <x:c r="A31" s="26" t="str">
        <x:v>Total Accomplished</x:v>
      </x:c>
      <x:c r="B31" s="26" t="str"/>
      <x:c r="C31" s="26" t="str"/>
      <x:c r="D31" s="26" t="str"/>
      <x:c r="E31" s="27" t="n">
        <x:f>SUM(E23:E30)</x:f>
        <x:v>0.008</x:v>
      </x:c>
      <x:c r="F31" s="27" t="str"/>
      <x:c r="G31" s="27" t="n">
        <x:f>SUMIF(G23:G30, TRUE, E23:E30)</x:f>
        <x:v>0</x:v>
      </x:c>
      <x:c r="H31" s="26" t="str"/>
    </x:row>
    <x:row r="33">
      <x:c r="A33" s="4" t="str">
        <x:v>Task ID</x:v>
      </x:c>
      <x:c r="B33" s="4" t="str">
        <x:v>FSDB</x:v>
      </x:c>
      <x:c r="C33" s="4" t="str">
        <x:v>Task Name</x:v>
      </x:c>
      <x:c r="D33" s="4" t="str">
        <x:v>Financial Statement Tables</x:v>
      </x:c>
      <x:c r="E33" s="4" t="str"/>
      <x:c r="F33" s="4" t="str">
        <x:v>in progress</x:v>
      </x:c>
      <x:c r="G33" s="4" t="str"/>
      <x:c r="H33" s="4" t="str">
        <x:v>https://app.clickup.com/t/86d38tf7g</x:v>
      </x:c>
    </x:row>
    <x:row r="34">
      <x:c r="A34" s="8" t="str">
        <x:v>Subtask ID</x:v>
      </x:c>
      <x:c r="B34" s="8" t="str">
        <x:v>Subtask / Task Name</x:v>
      </x:c>
      <x:c r="C34" s="8" t="str">
        <x:v>Acceptance Criteria</x:v>
      </x:c>
      <x:c r="D34" s="8" t="str">
        <x:v>Evidence / Deliverable</x:v>
      </x:c>
      <x:c r="E34" s="8" t="str">
        <x:v>Weight Allocation</x:v>
      </x:c>
      <x:c r="F34" s="8" t="str">
        <x:v>ClickUp Status</x:v>
      </x:c>
      <x:c r="G34" s="8" t="str">
        <x:v>Accepted</x:v>
      </x:c>
      <x:c r="H34" s="8" t="str">
        <x:v>ClickUp URL</x:v>
      </x:c>
    </x:row>
    <x:row r="35">
      <x:c r="A35" s="16" t="str">
        <x:v>REQ-01</x:v>
      </x:c>
      <x:c r="B35" s="16" t="str">
        <x:v>Define financial statement tables requirements</x:v>
      </x:c>
      <x:c r="C35" s="16" t="str">
        <x:v>Given the PAULUS Define financial statement tables requirements task is implemented, the feature should meet the approved capstone requirements and pass review against its expected behavior.</x:v>
      </x:c>
      <x:c r="D35" s="16" t="str">
        <x:v>ClickUp task evidence, implementation output, QA notes, screenshots, tests, or manuscript updates for Define financial statement tables requirements.</x:v>
      </x:c>
      <x:c r="E35" s="18" t="n">
        <x:v>0.0013333333333333333</x:v>
      </x:c>
      <x:c r="F35" s="16" t="str">
        <x:v>standardized subtask - URL pending</x:v>
      </x:c>
      <x:c r="G35" s="17" t="b">
        <x:v>0</x:v>
      </x:c>
      <x:c r="H35" s="16" t="str"/>
    </x:row>
    <x:row r="36">
      <x:c r="A36" s="16" t="str">
        <x:v>DES-01</x:v>
      </x:c>
      <x:c r="B36" s="16" t="str">
        <x:v>Design financial statement tables structure and workflow</x:v>
      </x:c>
      <x:c r="C36" s="16" t="str">
        <x:v>Given the PAULUS Design financial statement tables structure and workflow task is implemented, the feature should meet the approved capstone requirements and pass review against its expected behavior.</x:v>
      </x:c>
      <x:c r="D36" s="16" t="str">
        <x:v>ClickUp task evidence, implementation output, QA notes, screenshots, tests, or manuscript updates for Design financial statement tables structure and workflow.</x:v>
      </x:c>
      <x:c r="E36" s="18" t="n">
        <x:v>0.0013333333333333333</x:v>
      </x:c>
      <x:c r="F36" s="16" t="str">
        <x:v>standardized subtask - URL pending</x:v>
      </x:c>
      <x:c r="G36" s="17" t="b">
        <x:v>0</x:v>
      </x:c>
      <x:c r="H36" s="16" t="str"/>
    </x:row>
    <x:row r="37">
      <x:c r="A37" s="16" t="str">
        <x:v>DEV-01</x:v>
      </x:c>
      <x:c r="B37" s="16" t="str">
        <x:v>Implement financial statement tables baseline functionality</x:v>
      </x:c>
      <x:c r="C37" s="16" t="str">
        <x:v>Given the PAULUS Implement financial statement tables baseline functionality task is implemented, the feature should meet the approved capstone requirements and pass review against its expected behavior.</x:v>
      </x:c>
      <x:c r="D37" s="16" t="str">
        <x:v>ClickUp task evidence, implementation output, QA notes, screenshots, tests, or manuscript updates for Implement financial statement tables baseline functionality.</x:v>
      </x:c>
      <x:c r="E37" s="18" t="n">
        <x:v>0.0013333333333333333</x:v>
      </x:c>
      <x:c r="F37" s="16" t="str">
        <x:v>standardized subtask - URL pending</x:v>
      </x:c>
      <x:c r="G37" s="17" t="b">
        <x:v>0</x:v>
      </x:c>
      <x:c r="H37" s="16" t="str"/>
    </x:row>
    <x:row r="38">
      <x:c r="A38" s="16" t="str">
        <x:v>TEST-01</x:v>
      </x:c>
      <x:c r="B38" s="16" t="str">
        <x:v>Test financial statement tables behavior and outputs</x:v>
      </x:c>
      <x:c r="C38" s="16" t="str">
        <x:v>Given the PAULUS Test financial statement tables behavior and outputs task is implemented, the feature should meet the approved capstone requirements and pass review against its expected behavior.</x:v>
      </x:c>
      <x:c r="D38" s="16" t="str">
        <x:v>ClickUp task evidence, implementation output, QA notes, screenshots, tests, or manuscript updates for Test financial statement tables behavior and outputs.</x:v>
      </x:c>
      <x:c r="E38" s="18" t="n">
        <x:v>0.0013333333333333333</x:v>
      </x:c>
      <x:c r="F38" s="16" t="str">
        <x:v>standardized subtask - URL pending</x:v>
      </x:c>
      <x:c r="G38" s="17" t="b">
        <x:v>0</x:v>
      </x:c>
      <x:c r="H38" s="16" t="str"/>
    </x:row>
    <x:row r="39">
      <x:c r="A39" s="16" t="str">
        <x:v>FIX-01</x:v>
      </x:c>
      <x:c r="B39" s="16" t="str">
        <x:v>Resolve financial statement tables issues</x:v>
      </x:c>
      <x:c r="C39" s="16" t="str">
        <x:v>Given the PAULUS Resolve financial statement tables issues task is implemented, the feature should meet the approved capstone requirements and pass review against its expected behavior.</x:v>
      </x:c>
      <x:c r="D39" s="16" t="str">
        <x:v>ClickUp task evidence, implementation output, QA notes, screenshots, tests, or manuscript updates for Resolve financial statement tables issues.</x:v>
      </x:c>
      <x:c r="E39" s="18" t="n">
        <x:v>0.0013333333333333333</x:v>
      </x:c>
      <x:c r="F39" s="16" t="str">
        <x:v>standardized subtask - URL pending</x:v>
      </x:c>
      <x:c r="G39" s="17" t="b">
        <x:v>0</x:v>
      </x:c>
      <x:c r="H39" s="16" t="str"/>
    </x:row>
    <x:row r="40">
      <x:c r="A40" s="16" t="str">
        <x:v>MS-01</x:v>
      </x:c>
      <x:c r="B40" s="16" t="str">
        <x:v>Document financial statement tables in Chapter 3</x:v>
      </x:c>
      <x:c r="C40" s="16" t="str">
        <x:v>Given the PAULUS Document financial statement tables in Chapter 3 task is implemented, the feature should meet the approved capstone requirements and pass review against its expected behavior.</x:v>
      </x:c>
      <x:c r="D40" s="16" t="str">
        <x:v>ClickUp task evidence, implementation output, QA notes, screenshots, tests, or manuscript updates for Document financial statement tables in Chapter 3.</x:v>
      </x:c>
      <x:c r="E40" s="18" t="n">
        <x:v>0.0013333333333333333</x:v>
      </x:c>
      <x:c r="F40" s="16" t="str">
        <x:v>standardized subtask - URL pending</x:v>
      </x:c>
      <x:c r="G40" s="17" t="b">
        <x:v>0</x:v>
      </x:c>
      <x:c r="H40" s="16" t="str"/>
    </x:row>
    <x:row r="41">
      <x:c r="A41" s="26" t="str">
        <x:v>Total Accomplished</x:v>
      </x:c>
      <x:c r="B41" s="26" t="str"/>
      <x:c r="C41" s="26" t="str"/>
      <x:c r="D41" s="26" t="str"/>
      <x:c r="E41" s="27" t="n">
        <x:f>SUM(E35:E40)</x:f>
        <x:v>0.008</x:v>
      </x:c>
      <x:c r="F41" s="27" t="str"/>
      <x:c r="G41" s="27" t="n">
        <x:f>SUMIF(G35:G40, TRUE, E35:E40)</x:f>
        <x:v>0</x:v>
      </x:c>
      <x:c r="H41" s="26" t="str"/>
    </x:row>
    <x:row r="43">
      <x:c r="A43" s="4" t="str">
        <x:v>Task ID</x:v>
      </x:c>
      <x:c r="B43" s="4" t="str">
        <x:v>PROJDB</x:v>
      </x:c>
      <x:c r="C43" s="4" t="str">
        <x:v>Task Name</x:v>
      </x:c>
      <x:c r="D43" s="4" t="str">
        <x:v>Projects and Donations Tables</x:v>
      </x:c>
      <x:c r="E43" s="4" t="str"/>
      <x:c r="F43" s="4" t="str">
        <x:v>in progress</x:v>
      </x:c>
      <x:c r="G43" s="4" t="str"/>
      <x:c r="H43" s="4" t="str">
        <x:v>https://app.clickup.com/t/86d38tf81</x:v>
      </x:c>
    </x:row>
    <x:row r="44">
      <x:c r="A44" s="8" t="str">
        <x:v>Subtask ID</x:v>
      </x:c>
      <x:c r="B44" s="8" t="str">
        <x:v>Subtask / Task Name</x:v>
      </x:c>
      <x:c r="C44" s="8" t="str">
        <x:v>Acceptance Criteria</x:v>
      </x:c>
      <x:c r="D44" s="8" t="str">
        <x:v>Evidence / Deliverable</x:v>
      </x:c>
      <x:c r="E44" s="8" t="str">
        <x:v>Weight Allocation</x:v>
      </x:c>
      <x:c r="F44" s="8" t="str">
        <x:v>ClickUp Status</x:v>
      </x:c>
      <x:c r="G44" s="8" t="str">
        <x:v>Accepted</x:v>
      </x:c>
      <x:c r="H44" s="8" t="str">
        <x:v>ClickUp URL</x:v>
      </x:c>
    </x:row>
    <x:row r="45">
      <x:c r="A45" s="16" t="str">
        <x:v>REQ-01</x:v>
      </x:c>
      <x:c r="B45" s="16" t="str">
        <x:v>Define projects and donations tables requirements</x:v>
      </x:c>
      <x:c r="C45" s="16" t="str">
        <x:v>Given the PAULUS Define projects and donations tables requirements task is implemented, the feature should meet the approved capstone requirements and pass review against its expected behavior.</x:v>
      </x:c>
      <x:c r="D45" s="16" t="str">
        <x:v>ClickUp task evidence, implementation output, QA notes, screenshots, tests, or manuscript updates for Define projects and donations tables requirements.</x:v>
      </x:c>
      <x:c r="E45" s="18" t="n">
        <x:v>0.0013333333333333333</x:v>
      </x:c>
      <x:c r="F45" s="16" t="str">
        <x:v>standardized subtask - URL pending</x:v>
      </x:c>
      <x:c r="G45" s="17" t="b">
        <x:v>0</x:v>
      </x:c>
      <x:c r="H45" s="16" t="str"/>
    </x:row>
    <x:row r="46">
      <x:c r="A46" s="16" t="str">
        <x:v>DES-01</x:v>
      </x:c>
      <x:c r="B46" s="16" t="str">
        <x:v>Design projects and donations tables structure and workflow</x:v>
      </x:c>
      <x:c r="C46" s="16" t="str">
        <x:v>Given the PAULUS Design projects and donations tables structure and workflow task is implemented, the feature should meet the approved capstone requirements and pass review against its expected behavior.</x:v>
      </x:c>
      <x:c r="D46" s="16" t="str">
        <x:v>ClickUp task evidence, implementation output, QA notes, screenshots, tests, or manuscript updates for Design projects and donations tables structure and workflow.</x:v>
      </x:c>
      <x:c r="E46" s="18" t="n">
        <x:v>0.0013333333333333333</x:v>
      </x:c>
      <x:c r="F46" s="16" t="str">
        <x:v>standardized subtask - URL pending</x:v>
      </x:c>
      <x:c r="G46" s="17" t="b">
        <x:v>0</x:v>
      </x:c>
      <x:c r="H46" s="16" t="str"/>
    </x:row>
    <x:row r="47">
      <x:c r="A47" s="16" t="str">
        <x:v>DEV-01</x:v>
      </x:c>
      <x:c r="B47" s="16" t="str">
        <x:v>Implement projects and donations tables baseline functionality</x:v>
      </x:c>
      <x:c r="C47" s="16" t="str">
        <x:v>Given the PAULUS Implement projects and donations tables baseline functionality task is implemented, the feature should meet the approved capstone requirements and pass review against its expected behavior.</x:v>
      </x:c>
      <x:c r="D47" s="16" t="str">
        <x:v>ClickUp task evidence, implementation output, QA notes, screenshots, tests, or manuscript updates for Implement projects and donations tables baseline functionality.</x:v>
      </x:c>
      <x:c r="E47" s="18" t="n">
        <x:v>0.0013333333333333333</x:v>
      </x:c>
      <x:c r="F47" s="16" t="str">
        <x:v>standardized subtask - URL pending</x:v>
      </x:c>
      <x:c r="G47" s="17" t="b">
        <x:v>0</x:v>
      </x:c>
      <x:c r="H47" s="16" t="str"/>
    </x:row>
    <x:row r="48">
      <x:c r="A48" s="16" t="str">
        <x:v>TEST-01</x:v>
      </x:c>
      <x:c r="B48" s="16" t="str">
        <x:v>Test projects and donations tables behavior and outputs</x:v>
      </x:c>
      <x:c r="C48" s="16" t="str">
        <x:v>Given the PAULUS Test projects and donations tables behavior and outputs task is implemented, the feature should meet the approved capstone requirements and pass review against its expected behavior.</x:v>
      </x:c>
      <x:c r="D48" s="16" t="str">
        <x:v>ClickUp task evidence, implementation output, QA notes, screenshots, tests, or manuscript updates for Test projects and donations tables behavior and outputs.</x:v>
      </x:c>
      <x:c r="E48" s="18" t="n">
        <x:v>0.0013333333333333333</x:v>
      </x:c>
      <x:c r="F48" s="16" t="str">
        <x:v>standardized subtask - URL pending</x:v>
      </x:c>
      <x:c r="G48" s="17" t="b">
        <x:v>0</x:v>
      </x:c>
      <x:c r="H48" s="16" t="str"/>
    </x:row>
    <x:row r="49">
      <x:c r="A49" s="16" t="str">
        <x:v>FIX-01</x:v>
      </x:c>
      <x:c r="B49" s="16" t="str">
        <x:v>Resolve projects and donations tables issues</x:v>
      </x:c>
      <x:c r="C49" s="16" t="str">
        <x:v>Given the PAULUS Resolve projects and donations tables issues task is implemented, the feature should meet the approved capstone requirements and pass review against its expected behavior.</x:v>
      </x:c>
      <x:c r="D49" s="16" t="str">
        <x:v>ClickUp task evidence, implementation output, QA notes, screenshots, tests, or manuscript updates for Resolve projects and donations tables issues.</x:v>
      </x:c>
      <x:c r="E49" s="18" t="n">
        <x:v>0.0013333333333333333</x:v>
      </x:c>
      <x:c r="F49" s="16" t="str">
        <x:v>standardized subtask - URL pending</x:v>
      </x:c>
      <x:c r="G49" s="17" t="b">
        <x:v>0</x:v>
      </x:c>
      <x:c r="H49" s="16" t="str"/>
    </x:row>
    <x:row r="50">
      <x:c r="A50" s="16" t="str">
        <x:v>MS-01</x:v>
      </x:c>
      <x:c r="B50" s="16" t="str">
        <x:v>Document projects and donations tables in Chapter 3</x:v>
      </x:c>
      <x:c r="C50" s="16" t="str">
        <x:v>Given the PAULUS Document projects and donations tables in Chapter 3 task is implemented, the feature should meet the approved capstone requirements and pass review against its expected behavior.</x:v>
      </x:c>
      <x:c r="D50" s="16" t="str">
        <x:v>ClickUp task evidence, implementation output, QA notes, screenshots, tests, or manuscript updates for Document projects and donations tables in Chapter 3.</x:v>
      </x:c>
      <x:c r="E50" s="18" t="n">
        <x:v>0.0013333333333333333</x:v>
      </x:c>
      <x:c r="F50" s="16" t="str">
        <x:v>standardized subtask - URL pending</x:v>
      </x:c>
      <x:c r="G50" s="17" t="b">
        <x:v>0</x:v>
      </x:c>
      <x:c r="H50" s="16" t="str"/>
    </x:row>
    <x:row r="51">
      <x:c r="A51" s="26" t="str">
        <x:v>Total Accomplished</x:v>
      </x:c>
      <x:c r="B51" s="26" t="str"/>
      <x:c r="C51" s="26" t="str"/>
      <x:c r="D51" s="26" t="str"/>
      <x:c r="E51" s="27" t="n">
        <x:f>SUM(E45:E50)</x:f>
        <x:v>0.008</x:v>
      </x:c>
      <x:c r="F51" s="27" t="str"/>
      <x:c r="G51" s="27" t="n">
        <x:f>SUMIF(G45:G50, TRUE, E45:E50)</x:f>
        <x:v>0</x:v>
      </x:c>
      <x:c r="H51" s="26" t="str"/>
    </x:row>
    <x:row r="53">
      <x:c r="A53" s="4" t="str">
        <x:v>Task ID</x:v>
      </x:c>
      <x:c r="B53" s="4" t="str">
        <x:v>PRSTDB</x:v>
      </x:c>
      <x:c r="C53" s="4" t="str">
        <x:v>Task Name</x:v>
      </x:c>
      <x:c r="D53" s="4" t="str">
        <x:v>Priest Health Records Table</x:v>
      </x:c>
      <x:c r="E53" s="4" t="str"/>
      <x:c r="F53" s="4" t="str">
        <x:v>in progress</x:v>
      </x:c>
      <x:c r="G53" s="4" t="str"/>
      <x:c r="H53" s="4" t="str">
        <x:v>https://app.clickup.com/t/86d38tf96</x:v>
      </x:c>
    </x:row>
    <x:row r="54">
      <x:c r="A54" s="8" t="str">
        <x:v>Subtask ID</x:v>
      </x:c>
      <x:c r="B54" s="8" t="str">
        <x:v>Subtask / Task Name</x:v>
      </x:c>
      <x:c r="C54" s="8" t="str">
        <x:v>Acceptance Criteria</x:v>
      </x:c>
      <x:c r="D54" s="8" t="str">
        <x:v>Evidence / Deliverable</x:v>
      </x:c>
      <x:c r="E54" s="8" t="str">
        <x:v>Weight Allocation</x:v>
      </x:c>
      <x:c r="F54" s="8" t="str">
        <x:v>ClickUp Status</x:v>
      </x:c>
      <x:c r="G54" s="8" t="str">
        <x:v>Accepted</x:v>
      </x:c>
      <x:c r="H54" s="8" t="str">
        <x:v>ClickUp URL</x:v>
      </x:c>
    </x:row>
    <x:row r="55">
      <x:c r="A55" s="16" t="str">
        <x:v>REQ-01</x:v>
      </x:c>
      <x:c r="B55" s="16" t="str">
        <x:v>Define priest health database requirements</x:v>
      </x:c>
      <x:c r="C55" s="16" t="str">
        <x:v>Given the PAULUS Define priest health database requirements task is implemented, the feature should meet the approved capstone requirements and pass review against its expected behavior.</x:v>
      </x:c>
      <x:c r="D55" s="16" t="str">
        <x:v>ClickUp task evidence, implementation output, QA notes, screenshots, tests, or manuscript updates for Define priest health database requirements.</x:v>
      </x:c>
      <x:c r="E55" s="18" t="n">
        <x:v>0.001142857142857143</x:v>
      </x:c>
      <x:c r="F55" s="16" t="str">
        <x:v>planning/backlog</x:v>
      </x:c>
      <x:c r="G55" s="17" t="b">
        <x:v>0</x:v>
      </x:c>
      <x:c r="H55" s="16" t="str">
        <x:v>https://app.clickup.com/t/86d38zzqh</x:v>
      </x:c>
    </x:row>
    <x:row r="56">
      <x:c r="A56" s="16" t="str">
        <x:v>DES-01</x:v>
      </x:c>
      <x:c r="B56" s="16" t="str">
        <x:v>Design priest health records table</x:v>
      </x:c>
      <x:c r="C56" s="16" t="str">
        <x:v>Given the PAULUS Design priest health records table task is implemented, the feature should meet the approved capstone requirements and pass review against its expected behavior.</x:v>
      </x:c>
      <x:c r="D56" s="16" t="str">
        <x:v>ClickUp task evidence, implementation output, QA notes, screenshots, tests, or manuscript updates for Design priest health records table.</x:v>
      </x:c>
      <x:c r="E56" s="18" t="n">
        <x:v>0.001142857142857143</x:v>
      </x:c>
      <x:c r="F56" s="16" t="str">
        <x:v>planning/backlog</x:v>
      </x:c>
      <x:c r="G56" s="17" t="b">
        <x:v>0</x:v>
      </x:c>
      <x:c r="H56" s="16" t="str">
        <x:v>https://app.clickup.com/t/86d38zzr8</x:v>
      </x:c>
    </x:row>
    <x:row r="57">
      <x:c r="A57" s="16" t="str">
        <x:v>DEV-01</x:v>
      </x:c>
      <x:c r="B57" s="16" t="str">
        <x:v>Create priest health records table</x:v>
      </x:c>
      <x:c r="C57" s="16" t="str">
        <x:v>Given the PAULUS Create priest health records table task is implemented, the feature should meet the approved capstone requirements and pass review against its expected behavior.</x:v>
      </x:c>
      <x:c r="D57" s="16" t="str">
        <x:v>ClickUp task evidence, implementation output, QA notes, screenshots, tests, or manuscript updates for Create priest health records table.</x:v>
      </x:c>
      <x:c r="E57" s="18" t="n">
        <x:v>0.001142857142857143</x:v>
      </x:c>
      <x:c r="F57" s="16" t="str">
        <x:v>planning/backlog</x:v>
      </x:c>
      <x:c r="G57" s="17" t="b">
        <x:v>0</x:v>
      </x:c>
      <x:c r="H57" s="16" t="str">
        <x:v>https://app.clickup.com/t/86d38zzwj</x:v>
      </x:c>
    </x:row>
    <x:row r="58">
      <x:c r="A58" s="16" t="str">
        <x:v>DEV-02</x:v>
      </x:c>
      <x:c r="B58" s="16" t="str">
        <x:v>Configure priest health table constraints</x:v>
      </x:c>
      <x:c r="C58" s="16" t="str">
        <x:v>Given the PAULUS Configure priest health table constraints task is implemented, the feature should meet the approved capstone requirements and pass review against its expected behavior.</x:v>
      </x:c>
      <x:c r="D58" s="16" t="str">
        <x:v>ClickUp task evidence, implementation output, QA notes, screenshots, tests, or manuscript updates for Configure priest health table constraints.</x:v>
      </x:c>
      <x:c r="E58" s="18" t="n">
        <x:v>0.001142857142857143</x:v>
      </x:c>
      <x:c r="F58" s="16" t="str">
        <x:v>planning/backlog</x:v>
      </x:c>
      <x:c r="G58" s="17" t="b">
        <x:v>0</x:v>
      </x:c>
      <x:c r="H58" s="16" t="str">
        <x:v>https://app.clickup.com/t/86d38zzxm</x:v>
      </x:c>
    </x:row>
    <x:row r="59">
      <x:c r="A59" s="16" t="str">
        <x:v>TEST-01</x:v>
      </x:c>
      <x:c r="B59" s="16" t="str">
        <x:v>Test priest health data storage and retrieval</x:v>
      </x:c>
      <x:c r="C59" s="16" t="str">
        <x:v>Given the PAULUS Test priest health data storage and retrieval task is implemented, the feature should meet the approved capstone requirements and pass review against its expected behavior.</x:v>
      </x:c>
      <x:c r="D59" s="16" t="str">
        <x:v>ClickUp task evidence, implementation output, QA notes, screenshots, tests, or manuscript updates for Test priest health data storage and retrieval.</x:v>
      </x:c>
      <x:c r="E59" s="18" t="n">
        <x:v>0.001142857142857143</x:v>
      </x:c>
      <x:c r="F59" s="16" t="str">
        <x:v>planning/backlog</x:v>
      </x:c>
      <x:c r="G59" s="17" t="b">
        <x:v>0</x:v>
      </x:c>
      <x:c r="H59" s="16" t="str">
        <x:v>https://app.clickup.com/t/86d39000b</x:v>
      </x:c>
    </x:row>
    <x:row r="60">
      <x:c r="A60" s="16" t="str">
        <x:v>FIX-01</x:v>
      </x:c>
      <x:c r="B60" s="16" t="str">
        <x:v>Resolve priest health database errors</x:v>
      </x:c>
      <x:c r="C60" s="16" t="str">
        <x:v>Given the PAULUS Resolve priest health database errors task is implemented, the feature should meet the approved capstone requirements and pass review against its expected behavior.</x:v>
      </x:c>
      <x:c r="D60" s="16" t="str">
        <x:v>ClickUp task evidence, implementation output, QA notes, screenshots, tests, or manuscript updates for Resolve priest health database errors.</x:v>
      </x:c>
      <x:c r="E60" s="18" t="n">
        <x:v>0.001142857142857143</x:v>
      </x:c>
      <x:c r="F60" s="16" t="str">
        <x:v>planning/backlog</x:v>
      </x:c>
      <x:c r="G60" s="17" t="b">
        <x:v>0</x:v>
      </x:c>
      <x:c r="H60" s="16" t="str">
        <x:v>https://app.clickup.com/t/86d39002q</x:v>
      </x:c>
    </x:row>
    <x:row r="61">
      <x:c r="A61" s="16" t="str">
        <x:v>MS-01</x:v>
      </x:c>
      <x:c r="B61" s="16" t="str">
        <x:v>Document priest health database structure</x:v>
      </x:c>
      <x:c r="C61" s="16" t="str">
        <x:v>Given the PAULUS Document priest health database structure task is implemented, the feature should meet the approved capstone requirements and pass review against its expected behavior.</x:v>
      </x:c>
      <x:c r="D61" s="16" t="str">
        <x:v>ClickUp task evidence, implementation output, QA notes, screenshots, tests, or manuscript updates for Document priest health database structure.</x:v>
      </x:c>
      <x:c r="E61" s="18" t="n">
        <x:v>0.001142857142857143</x:v>
      </x:c>
      <x:c r="F61" s="16" t="str">
        <x:v>planning/backlog</x:v>
      </x:c>
      <x:c r="G61" s="17" t="b">
        <x:v>0</x:v>
      </x:c>
      <x:c r="H61" s="16" t="str">
        <x:v>https://app.clickup.com/t/86d39004y</x:v>
      </x:c>
    </x:row>
    <x:row r="62">
      <x:c r="A62" s="26" t="str">
        <x:v>Total Accomplished</x:v>
      </x:c>
      <x:c r="B62" s="26" t="str"/>
      <x:c r="C62" s="26" t="str"/>
      <x:c r="D62" s="26" t="str"/>
      <x:c r="E62" s="27" t="n">
        <x:f>SUM(E55:E61)</x:f>
        <x:v>0.008000000000000002</x:v>
      </x:c>
      <x:c r="F62" s="27" t="str"/>
      <x:c r="G62" s="27" t="n">
        <x:f>SUMIF(G55:G61, TRUE, E55:E61)</x:f>
        <x:v>0</x:v>
      </x:c>
      <x:c r="H62" s="26" t="str"/>
    </x:row>
    <x:row r="64">
      <x:c r="A64" s="4" t="str">
        <x:v>Task ID</x:v>
      </x:c>
      <x:c r="B64" s="4" t="str">
        <x:v>ANALYTICSDB</x:v>
      </x:c>
      <x:c r="C64" s="4" t="str">
        <x:v>Task Name</x:v>
      </x:c>
      <x:c r="D64" s="4" t="str">
        <x:v>Analytics Output Tables</x:v>
      </x:c>
      <x:c r="E64" s="4" t="str"/>
      <x:c r="F64" s="4" t="str">
        <x:v>in progress</x:v>
      </x:c>
      <x:c r="G64" s="4" t="str"/>
      <x:c r="H64" s="4" t="str">
        <x:v>https://app.clickup.com/t/86d38tf9g</x:v>
      </x:c>
    </x:row>
    <x:row r="65">
      <x:c r="A65" s="8" t="str">
        <x:v>Subtask ID</x:v>
      </x:c>
      <x:c r="B65" s="8" t="str">
        <x:v>Subtask / Task Name</x:v>
      </x:c>
      <x:c r="C65" s="8" t="str">
        <x:v>Acceptance Criteria</x:v>
      </x:c>
      <x:c r="D65" s="8" t="str">
        <x:v>Evidence / Deliverable</x:v>
      </x:c>
      <x:c r="E65" s="8" t="str">
        <x:v>Weight Allocation</x:v>
      </x:c>
      <x:c r="F65" s="8" t="str">
        <x:v>ClickUp Status</x:v>
      </x:c>
      <x:c r="G65" s="8" t="str">
        <x:v>Accepted</x:v>
      </x:c>
      <x:c r="H65" s="8" t="str">
        <x:v>ClickUp URL</x:v>
      </x:c>
    </x:row>
    <x:row r="66">
      <x:c r="A66" s="16" t="str">
        <x:v>REQ-01</x:v>
      </x:c>
      <x:c r="B66" s="16" t="str">
        <x:v>Define analytics output tables requirements</x:v>
      </x:c>
      <x:c r="C66" s="16" t="str">
        <x:v>Given the PAULUS Define analytics output tables requirements task is implemented, the feature should meet the approved capstone requirements and pass review against its expected behavior.</x:v>
      </x:c>
      <x:c r="D66" s="16" t="str">
        <x:v>ClickUp task evidence, implementation output, QA notes, screenshots, tests, or manuscript updates for Define analytics output tables requirements.</x:v>
      </x:c>
      <x:c r="E66" s="18" t="n">
        <x:v>0.0013333333333333333</x:v>
      </x:c>
      <x:c r="F66" s="16" t="str">
        <x:v>standardized subtask - URL pending</x:v>
      </x:c>
      <x:c r="G66" s="17" t="b">
        <x:v>0</x:v>
      </x:c>
      <x:c r="H66" s="16" t="str"/>
    </x:row>
    <x:row r="67">
      <x:c r="A67" s="16" t="str">
        <x:v>DES-01</x:v>
      </x:c>
      <x:c r="B67" s="16" t="str">
        <x:v>Design analytics output tables structure and workflow</x:v>
      </x:c>
      <x:c r="C67" s="16" t="str">
        <x:v>Given the PAULUS Design analytics output tables structure and workflow task is implemented, the feature should meet the approved capstone requirements and pass review against its expected behavior.</x:v>
      </x:c>
      <x:c r="D67" s="16" t="str">
        <x:v>ClickUp task evidence, implementation output, QA notes, screenshots, tests, or manuscript updates for Design analytics output tables structure and workflow.</x:v>
      </x:c>
      <x:c r="E67" s="18" t="n">
        <x:v>0.0013333333333333333</x:v>
      </x:c>
      <x:c r="F67" s="16" t="str">
        <x:v>standardized subtask - URL pending</x:v>
      </x:c>
      <x:c r="G67" s="17" t="b">
        <x:v>0</x:v>
      </x:c>
      <x:c r="H67" s="16" t="str"/>
    </x:row>
    <x:row r="68">
      <x:c r="A68" s="16" t="str">
        <x:v>DEV-01</x:v>
      </x:c>
      <x:c r="B68" s="16" t="str">
        <x:v>Implement analytics output tables baseline functionality</x:v>
      </x:c>
      <x:c r="C68" s="16" t="str">
        <x:v>Given the PAULUS Implement analytics output tables baseline functionality task is implemented, the feature should meet the approved capstone requirements and pass review against its expected behavior.</x:v>
      </x:c>
      <x:c r="D68" s="16" t="str">
        <x:v>ClickUp task evidence, implementation output, QA notes, screenshots, tests, or manuscript updates for Implement analytics output tables baseline functionality.</x:v>
      </x:c>
      <x:c r="E68" s="18" t="n">
        <x:v>0.0013333333333333333</x:v>
      </x:c>
      <x:c r="F68" s="16" t="str">
        <x:v>standardized subtask - URL pending</x:v>
      </x:c>
      <x:c r="G68" s="17" t="b">
        <x:v>0</x:v>
      </x:c>
      <x:c r="H68" s="16" t="str"/>
    </x:row>
    <x:row r="69">
      <x:c r="A69" s="16" t="str">
        <x:v>TEST-01</x:v>
      </x:c>
      <x:c r="B69" s="16" t="str">
        <x:v>Test analytics output tables behavior and outputs</x:v>
      </x:c>
      <x:c r="C69" s="16" t="str">
        <x:v>Given the PAULUS Test analytics output tables behavior and outputs task is implemented, the feature should meet the approved capstone requirements and pass review against its expected behavior.</x:v>
      </x:c>
      <x:c r="D69" s="16" t="str">
        <x:v>ClickUp task evidence, implementation output, QA notes, screenshots, tests, or manuscript updates for Test analytics output tables behavior and outputs.</x:v>
      </x:c>
      <x:c r="E69" s="18" t="n">
        <x:v>0.0013333333333333333</x:v>
      </x:c>
      <x:c r="F69" s="16" t="str">
        <x:v>standardized subtask - URL pending</x:v>
      </x:c>
      <x:c r="G69" s="17" t="b">
        <x:v>0</x:v>
      </x:c>
      <x:c r="H69" s="16" t="str"/>
    </x:row>
    <x:row r="70">
      <x:c r="A70" s="16" t="str">
        <x:v>FIX-01</x:v>
      </x:c>
      <x:c r="B70" s="16" t="str">
        <x:v>Resolve analytics output tables issues</x:v>
      </x:c>
      <x:c r="C70" s="16" t="str">
        <x:v>Given the PAULUS Resolve analytics output tables issues task is implemented, the feature should meet the approved capstone requirements and pass review against its expected behavior.</x:v>
      </x:c>
      <x:c r="D70" s="16" t="str">
        <x:v>ClickUp task evidence, implementation output, QA notes, screenshots, tests, or manuscript updates for Resolve analytics output tables issues.</x:v>
      </x:c>
      <x:c r="E70" s="18" t="n">
        <x:v>0.0013333333333333333</x:v>
      </x:c>
      <x:c r="F70" s="16" t="str">
        <x:v>standardized subtask - URL pending</x:v>
      </x:c>
      <x:c r="G70" s="17" t="b">
        <x:v>0</x:v>
      </x:c>
      <x:c r="H70" s="16" t="str"/>
    </x:row>
    <x:row r="71">
      <x:c r="A71" s="16" t="str">
        <x:v>MS-01</x:v>
      </x:c>
      <x:c r="B71" s="16" t="str">
        <x:v>Document analytics output tables in Chapter 3</x:v>
      </x:c>
      <x:c r="C71" s="16" t="str">
        <x:v>Given the PAULUS Document analytics output tables in Chapter 3 task is implemented, the feature should meet the approved capstone requirements and pass review against its expected behavior.</x:v>
      </x:c>
      <x:c r="D71" s="16" t="str">
        <x:v>ClickUp task evidence, implementation output, QA notes, screenshots, tests, or manuscript updates for Document analytics output tables in Chapter 3.</x:v>
      </x:c>
      <x:c r="E71" s="18" t="n">
        <x:v>0.0013333333333333333</x:v>
      </x:c>
      <x:c r="F71" s="16" t="str">
        <x:v>standardized subtask - URL pending</x:v>
      </x:c>
      <x:c r="G71" s="17" t="b">
        <x:v>0</x:v>
      </x:c>
      <x:c r="H71" s="16" t="str"/>
    </x:row>
    <x:row r="72">
      <x:c r="A72" s="26" t="str">
        <x:v>Total Accomplished</x:v>
      </x:c>
      <x:c r="B72" s="26" t="str"/>
      <x:c r="C72" s="26" t="str"/>
      <x:c r="D72" s="26" t="str"/>
      <x:c r="E72" s="27" t="n">
        <x:f>SUM(E66:E71)</x:f>
        <x:v>0.008</x:v>
      </x:c>
      <x:c r="F72" s="27" t="str"/>
      <x:c r="G72" s="27" t="n">
        <x:f>SUMIF(G66:G71, TRUE, E66:E71)</x:f>
        <x:v>0</x:v>
      </x:c>
      <x:c r="H72" s="26" t="str"/>
    </x:row>
    <x:row r="74">
      <x:c r="A74" s="4" t="str">
        <x:v>Task ID</x:v>
      </x:c>
      <x:c r="B74" s="4" t="str">
        <x:v>SANDBOX</x:v>
      </x:c>
      <x:c r="C74" s="4" t="str">
        <x:v>Task Name</x:v>
      </x:c>
      <x:c r="D74" s="4" t="str">
        <x:v>Sandbox and Model Testing Schema</x:v>
      </x:c>
      <x:c r="E74" s="4" t="str"/>
      <x:c r="F74" s="4" t="str">
        <x:v>in progress</x:v>
      </x:c>
      <x:c r="G74" s="4" t="str"/>
      <x:c r="H74" s="4" t="str">
        <x:v>https://app.clickup.com/t/86d38tfat</x:v>
      </x:c>
    </x:row>
    <x:row r="75">
      <x:c r="A75" s="8" t="str">
        <x:v>Subtask ID</x:v>
      </x:c>
      <x:c r="B75" s="8" t="str">
        <x:v>Subtask / Task Name</x:v>
      </x:c>
      <x:c r="C75" s="8" t="str">
        <x:v>Acceptance Criteria</x:v>
      </x:c>
      <x:c r="D75" s="8" t="str">
        <x:v>Evidence / Deliverable</x:v>
      </x:c>
      <x:c r="E75" s="8" t="str">
        <x:v>Weight Allocation</x:v>
      </x:c>
      <x:c r="F75" s="8" t="str">
        <x:v>ClickUp Status</x:v>
      </x:c>
      <x:c r="G75" s="8" t="str">
        <x:v>Accepted</x:v>
      </x:c>
      <x:c r="H75" s="8" t="str">
        <x:v>ClickUp URL</x:v>
      </x:c>
    </x:row>
    <x:row r="76">
      <x:c r="A76" s="16" t="str">
        <x:v>REQ-01</x:v>
      </x:c>
      <x:c r="B76" s="16" t="str">
        <x:v>Define sandbox and model testing schema requirements</x:v>
      </x:c>
      <x:c r="C76" s="16" t="str">
        <x:v>Given the PAULUS Define sandbox and model testing schema requirements task is implemented, the feature should meet the approved capstone requirements and pass review against its expected behavior.</x:v>
      </x:c>
      <x:c r="D76" s="16" t="str">
        <x:v>ClickUp task evidence, implementation output, QA notes, screenshots, tests, or manuscript updates for Define sandbox and model testing schema requirements.</x:v>
      </x:c>
      <x:c r="E76" s="18" t="n">
        <x:v>0.0013333333333333333</x:v>
      </x:c>
      <x:c r="F76" s="16" t="str">
        <x:v>standardized subtask - URL pending</x:v>
      </x:c>
      <x:c r="G76" s="17" t="b">
        <x:v>0</x:v>
      </x:c>
      <x:c r="H76" s="16" t="str"/>
    </x:row>
    <x:row r="77">
      <x:c r="A77" s="16" t="str">
        <x:v>DES-01</x:v>
      </x:c>
      <x:c r="B77" s="16" t="str">
        <x:v>Design sandbox and model testing schema structure and workflow</x:v>
      </x:c>
      <x:c r="C77" s="16" t="str">
        <x:v>Given the PAULUS Design sandbox and model testing schema structure and workflow task is implemented, the feature should meet the approved capstone requirements and pass review against its expected behavior.</x:v>
      </x:c>
      <x:c r="D77" s="16" t="str">
        <x:v>ClickUp task evidence, implementation output, QA notes, screenshots, tests, or manuscript updates for Design sandbox and model testing schema structure and workflow.</x:v>
      </x:c>
      <x:c r="E77" s="18" t="n">
        <x:v>0.0013333333333333333</x:v>
      </x:c>
      <x:c r="F77" s="16" t="str">
        <x:v>standardized subtask - URL pending</x:v>
      </x:c>
      <x:c r="G77" s="17" t="b">
        <x:v>0</x:v>
      </x:c>
      <x:c r="H77" s="16" t="str"/>
    </x:row>
    <x:row r="78">
      <x:c r="A78" s="16" t="str">
        <x:v>DEV-01</x:v>
      </x:c>
      <x:c r="B78" s="16" t="str">
        <x:v>Implement sandbox and model testing schema baseline functionality</x:v>
      </x:c>
      <x:c r="C78" s="16" t="str">
        <x:v>Given the PAULUS Implement sandbox and model testing schema baseline functionality task is implemented, the feature should meet the approved capstone requirements and pass review against its expected behavior.</x:v>
      </x:c>
      <x:c r="D78" s="16" t="str">
        <x:v>ClickUp task evidence, implementation output, QA notes, screenshots, tests, or manuscript updates for Implement sandbox and model testing schema baseline functionality.</x:v>
      </x:c>
      <x:c r="E78" s="18" t="n">
        <x:v>0.0013333333333333333</x:v>
      </x:c>
      <x:c r="F78" s="16" t="str">
        <x:v>standardized subtask - URL pending</x:v>
      </x:c>
      <x:c r="G78" s="17" t="b">
        <x:v>0</x:v>
      </x:c>
      <x:c r="H78" s="16" t="str"/>
    </x:row>
    <x:row r="79">
      <x:c r="A79" s="16" t="str">
        <x:v>TEST-01</x:v>
      </x:c>
      <x:c r="B79" s="16" t="str">
        <x:v>Test sandbox and model testing schema behavior and outputs</x:v>
      </x:c>
      <x:c r="C79" s="16" t="str">
        <x:v>Given the PAULUS Test sandbox and model testing schema behavior and outputs task is implemented, the feature should meet the approved capstone requirements and pass review against its expected behavior.</x:v>
      </x:c>
      <x:c r="D79" s="16" t="str">
        <x:v>ClickUp task evidence, implementation output, QA notes, screenshots, tests, or manuscript updates for Test sandbox and model testing schema behavior and outputs.</x:v>
      </x:c>
      <x:c r="E79" s="18" t="n">
        <x:v>0.0013333333333333333</x:v>
      </x:c>
      <x:c r="F79" s="16" t="str">
        <x:v>standardized subtask - URL pending</x:v>
      </x:c>
      <x:c r="G79" s="17" t="b">
        <x:v>0</x:v>
      </x:c>
      <x:c r="H79" s="16" t="str"/>
    </x:row>
    <x:row r="80">
      <x:c r="A80" s="16" t="str">
        <x:v>FIX-01</x:v>
      </x:c>
      <x:c r="B80" s="16" t="str">
        <x:v>Resolve sandbox and model testing schema issues</x:v>
      </x:c>
      <x:c r="C80" s="16" t="str">
        <x:v>Given the PAULUS Resolve sandbox and model testing schema issues task is implemented, the feature should meet the approved capstone requirements and pass review against its expected behavior.</x:v>
      </x:c>
      <x:c r="D80" s="16" t="str">
        <x:v>ClickUp task evidence, implementation output, QA notes, screenshots, tests, or manuscript updates for Resolve sandbox and model testing schema issues.</x:v>
      </x:c>
      <x:c r="E80" s="18" t="n">
        <x:v>0.0013333333333333333</x:v>
      </x:c>
      <x:c r="F80" s="16" t="str">
        <x:v>standardized subtask - URL pending</x:v>
      </x:c>
      <x:c r="G80" s="17" t="b">
        <x:v>0</x:v>
      </x:c>
      <x:c r="H80" s="16" t="str"/>
    </x:row>
    <x:row r="81">
      <x:c r="A81" s="16" t="str">
        <x:v>MS-01</x:v>
      </x:c>
      <x:c r="B81" s="16" t="str">
        <x:v>Document sandbox and model testing schema in Chapter 3</x:v>
      </x:c>
      <x:c r="C81" s="16" t="str">
        <x:v>Given the PAULUS Document sandbox and model testing schema in Chapter 3 task is implemented, the feature should meet the approved capstone requirements and pass review against its expected behavior.</x:v>
      </x:c>
      <x:c r="D81" s="16" t="str">
        <x:v>ClickUp task evidence, implementation output, QA notes, screenshots, tests, or manuscript updates for Document sandbox and model testing schema in Chapter 3.</x:v>
      </x:c>
      <x:c r="E81" s="18" t="n">
        <x:v>0.0013333333333333333</x:v>
      </x:c>
      <x:c r="F81" s="16" t="str">
        <x:v>standardized subtask - URL pending</x:v>
      </x:c>
      <x:c r="G81" s="17" t="b">
        <x:v>0</x:v>
      </x:c>
      <x:c r="H81" s="16" t="str"/>
    </x:row>
    <x:row r="82">
      <x:c r="A82" s="26" t="str">
        <x:v>Total Accomplished</x:v>
      </x:c>
      <x:c r="B82" s="26" t="str"/>
      <x:c r="C82" s="26" t="str"/>
      <x:c r="D82" s="26" t="str"/>
      <x:c r="E82" s="27" t="n">
        <x:f>SUM(E76:E81)</x:f>
        <x:v>0.008</x:v>
      </x:c>
      <x:c r="F82" s="27" t="str"/>
      <x:c r="G82" s="27" t="n">
        <x:f>SUMIF(G76:G81, TRUE, E76:E81)</x:f>
        <x:v>0</x:v>
      </x:c>
      <x:c r="H82" s="26" t="str"/>
    </x:row>
    <x:row r="84">
      <x:c r="A84" s="4" t="str">
        <x:v>Task ID</x:v>
      </x:c>
      <x:c r="B84" s="4" t="str">
        <x:v>BACKUP</x:v>
      </x:c>
      <x:c r="C84" s="4" t="str">
        <x:v>Task Name</x:v>
      </x:c>
      <x:c r="D84" s="4" t="str">
        <x:v>Backup and Recovery Setup</x:v>
      </x:c>
      <x:c r="E84" s="4" t="str"/>
      <x:c r="F84" s="4" t="str">
        <x:v>planning/backlog</x:v>
      </x:c>
      <x:c r="G84" s="4" t="str"/>
      <x:c r="H84" s="4" t="str">
        <x:v>https://app.clickup.com/t/86d38tfcn</x:v>
      </x:c>
    </x:row>
    <x:row r="85">
      <x:c r="A85" s="8" t="str">
        <x:v>Subtask ID</x:v>
      </x:c>
      <x:c r="B85" s="8" t="str">
        <x:v>Subtask / Task Name</x:v>
      </x:c>
      <x:c r="C85" s="8" t="str">
        <x:v>Acceptance Criteria</x:v>
      </x:c>
      <x:c r="D85" s="8" t="str">
        <x:v>Evidence / Deliverable</x:v>
      </x:c>
      <x:c r="E85" s="8" t="str">
        <x:v>Weight Allocation</x:v>
      </x:c>
      <x:c r="F85" s="8" t="str">
        <x:v>ClickUp Status</x:v>
      </x:c>
      <x:c r="G85" s="8" t="str">
        <x:v>Accepted</x:v>
      </x:c>
      <x:c r="H85" s="8" t="str">
        <x:v>ClickUp URL</x:v>
      </x:c>
    </x:row>
    <x:row r="86">
      <x:c r="A86" s="16" t="str">
        <x:v>REQ-01</x:v>
      </x:c>
      <x:c r="B86" s="16" t="str">
        <x:v>Define backup and recovery setup requirements</x:v>
      </x:c>
      <x:c r="C86" s="16" t="str">
        <x:v>Given the PAULUS Define backup and recovery setup requirements task is implemented, the feature should meet the approved capstone requirements and pass review against its expected behavior.</x:v>
      </x:c>
      <x:c r="D86" s="16" t="str">
        <x:v>ClickUp task evidence, implementation output, QA notes, screenshots, tests, or manuscript updates for Define backup and recovery setup requirements.</x:v>
      </x:c>
      <x:c r="E86" s="18" t="n">
        <x:v>0.0013333333333333333</x:v>
      </x:c>
      <x:c r="F86" s="16" t="str">
        <x:v>standardized subtask - URL pending</x:v>
      </x:c>
      <x:c r="G86" s="17" t="b">
        <x:v>0</x:v>
      </x:c>
      <x:c r="H86" s="16" t="str"/>
    </x:row>
    <x:row r="87">
      <x:c r="A87" s="16" t="str">
        <x:v>DES-01</x:v>
      </x:c>
      <x:c r="B87" s="16" t="str">
        <x:v>Design backup and recovery setup structure and workflow</x:v>
      </x:c>
      <x:c r="C87" s="16" t="str">
        <x:v>Given the PAULUS Design backup and recovery setup structure and workflow task is implemented, the feature should meet the approved capstone requirements and pass review against its expected behavior.</x:v>
      </x:c>
      <x:c r="D87" s="16" t="str">
        <x:v>ClickUp task evidence, implementation output, QA notes, screenshots, tests, or manuscript updates for Design backup and recovery setup structure and workflow.</x:v>
      </x:c>
      <x:c r="E87" s="18" t="n">
        <x:v>0.0013333333333333333</x:v>
      </x:c>
      <x:c r="F87" s="16" t="str">
        <x:v>standardized subtask - URL pending</x:v>
      </x:c>
      <x:c r="G87" s="17" t="b">
        <x:v>0</x:v>
      </x:c>
      <x:c r="H87" s="16" t="str"/>
    </x:row>
    <x:row r="88">
      <x:c r="A88" s="16" t="str">
        <x:v>DEV-01</x:v>
      </x:c>
      <x:c r="B88" s="16" t="str">
        <x:v>Implement backup and recovery setup baseline functionality</x:v>
      </x:c>
      <x:c r="C88" s="16" t="str">
        <x:v>Given the PAULUS Implement backup and recovery setup baseline functionality task is implemented, the feature should meet the approved capstone requirements and pass review against its expected behavior.</x:v>
      </x:c>
      <x:c r="D88" s="16" t="str">
        <x:v>ClickUp task evidence, implementation output, QA notes, screenshots, tests, or manuscript updates for Implement backup and recovery setup baseline functionality.</x:v>
      </x:c>
      <x:c r="E88" s="18" t="n">
        <x:v>0.0013333333333333333</x:v>
      </x:c>
      <x:c r="F88" s="16" t="str">
        <x:v>standardized subtask - URL pending</x:v>
      </x:c>
      <x:c r="G88" s="17" t="b">
        <x:v>0</x:v>
      </x:c>
      <x:c r="H88" s="16" t="str"/>
    </x:row>
    <x:row r="89">
      <x:c r="A89" s="16" t="str">
        <x:v>TEST-01</x:v>
      </x:c>
      <x:c r="B89" s="16" t="str">
        <x:v>Test backup and recovery setup behavior and outputs</x:v>
      </x:c>
      <x:c r="C89" s="16" t="str">
        <x:v>Given the PAULUS Test backup and recovery setup behavior and outputs task is implemented, the feature should meet the approved capstone requirements and pass review against its expected behavior.</x:v>
      </x:c>
      <x:c r="D89" s="16" t="str">
        <x:v>ClickUp task evidence, implementation output, QA notes, screenshots, tests, or manuscript updates for Test backup and recovery setup behavior and outputs.</x:v>
      </x:c>
      <x:c r="E89" s="18" t="n">
        <x:v>0.0013333333333333333</x:v>
      </x:c>
      <x:c r="F89" s="16" t="str">
        <x:v>standardized subtask - URL pending</x:v>
      </x:c>
      <x:c r="G89" s="17" t="b">
        <x:v>0</x:v>
      </x:c>
      <x:c r="H89" s="16" t="str"/>
    </x:row>
    <x:row r="90">
      <x:c r="A90" s="16" t="str">
        <x:v>FIX-01</x:v>
      </x:c>
      <x:c r="B90" s="16" t="str">
        <x:v>Resolve backup and recovery setup issues</x:v>
      </x:c>
      <x:c r="C90" s="16" t="str">
        <x:v>Given the PAULUS Resolve backup and recovery setup issues task is implemented, the feature should meet the approved capstone requirements and pass review against its expected behavior.</x:v>
      </x:c>
      <x:c r="D90" s="16" t="str">
        <x:v>ClickUp task evidence, implementation output, QA notes, screenshots, tests, or manuscript updates for Resolve backup and recovery setup issues.</x:v>
      </x:c>
      <x:c r="E90" s="18" t="n">
        <x:v>0.0013333333333333333</x:v>
      </x:c>
      <x:c r="F90" s="16" t="str">
        <x:v>standardized subtask - URL pending</x:v>
      </x:c>
      <x:c r="G90" s="17" t="b">
        <x:v>0</x:v>
      </x:c>
      <x:c r="H90" s="16" t="str"/>
    </x:row>
    <x:row r="91">
      <x:c r="A91" s="16" t="str">
        <x:v>MS-01</x:v>
      </x:c>
      <x:c r="B91" s="16" t="str">
        <x:v>Document backup and recovery setup in Chapter 3</x:v>
      </x:c>
      <x:c r="C91" s="16" t="str">
        <x:v>Given the PAULUS Document backup and recovery setup in Chapter 3 task is implemented, the feature should meet the approved capstone requirements and pass review against its expected behavior.</x:v>
      </x:c>
      <x:c r="D91" s="16" t="str">
        <x:v>ClickUp task evidence, implementation output, QA notes, screenshots, tests, or manuscript updates for Document backup and recovery setup in Chapter 3.</x:v>
      </x:c>
      <x:c r="E91" s="18" t="n">
        <x:v>0.0013333333333333333</x:v>
      </x:c>
      <x:c r="F91" s="16" t="str">
        <x:v>standardized subtask - URL pending</x:v>
      </x:c>
      <x:c r="G91" s="17" t="b">
        <x:v>0</x:v>
      </x:c>
      <x:c r="H91" s="16" t="str"/>
    </x:row>
    <x:row r="92">
      <x:c r="A92" s="26" t="str">
        <x:v>Total Accomplished</x:v>
      </x:c>
      <x:c r="B92" s="26" t="str"/>
      <x:c r="C92" s="26" t="str"/>
      <x:c r="D92" s="26" t="str"/>
      <x:c r="E92" s="27" t="n">
        <x:f>SUM(E86:E91)</x:f>
        <x:v>0.008</x:v>
      </x:c>
      <x:c r="F92" s="27" t="str"/>
      <x:c r="G92" s="27" t="n">
        <x:f>SUMIF(G86:G91, TRUE, E86:E91)</x:f>
        <x:v>0</x:v>
      </x:c>
      <x:c r="H92" s="26" t="str"/>
    </x:row>
    <x:row r="94">
      <x:c r="A94" s="4" t="str">
        <x:v>Task ID</x:v>
      </x:c>
      <x:c r="B94" s="4" t="str">
        <x:v>FINBACKUP</x:v>
      </x:c>
      <x:c r="C94" s="4" t="str">
        <x:v>Task Name</x:v>
      </x:c>
      <x:c r="D94" s="4" t="str">
        <x:v>Backup Input for Financial Data</x:v>
      </x:c>
      <x:c r="E94" s="4" t="str"/>
      <x:c r="F94" s="4" t="str">
        <x:v>planning/backlog</x:v>
      </x:c>
      <x:c r="G94" s="4" t="str"/>
      <x:c r="H94" s="4" t="str">
        <x:v>https://app.clickup.com/t/86d3bw6t9</x:v>
      </x:c>
    </x:row>
    <x:row r="95">
      <x:c r="A95" s="8" t="str">
        <x:v>Subtask ID</x:v>
      </x:c>
      <x:c r="B95" s="8" t="str">
        <x:v>Subtask / Task Name</x:v>
      </x:c>
      <x:c r="C95" s="8" t="str">
        <x:v>Acceptance Criteria</x:v>
      </x:c>
      <x:c r="D95" s="8" t="str">
        <x:v>Evidence / Deliverable</x:v>
      </x:c>
      <x:c r="E95" s="8" t="str">
        <x:v>Weight Allocation</x:v>
      </x:c>
      <x:c r="F95" s="8" t="str">
        <x:v>ClickUp Status</x:v>
      </x:c>
      <x:c r="G95" s="8" t="str">
        <x:v>Accepted</x:v>
      </x:c>
      <x:c r="H95" s="8" t="str">
        <x:v>ClickUp URL</x:v>
      </x:c>
    </x:row>
    <x:row r="96">
      <x:c r="A96" s="16" t="str">
        <x:v>REQ-01</x:v>
      </x:c>
      <x:c r="B96" s="16" t="str">
        <x:v>Define backup input data requirements</x:v>
      </x:c>
      <x:c r="C96" s="16" t="str">
        <x:v>Given the PAULUS Define backup input data requirements task is implemented, the feature should meet the approved capstone requirements and pass review against its expected behavior.</x:v>
      </x:c>
      <x:c r="D96" s="16" t="str">
        <x:v>ClickUp task evidence, implementation output, QA notes, screenshots, tests, or manuscript updates for Define backup input data requirements.</x:v>
      </x:c>
      <x:c r="E96" s="18" t="n">
        <x:v>0.0013333333333333333</x:v>
      </x:c>
      <x:c r="F96" s="16" t="str">
        <x:v>planning/backlog</x:v>
      </x:c>
      <x:c r="G96" s="17" t="b">
        <x:v>0</x:v>
      </x:c>
      <x:c r="H96" s="16" t="str">
        <x:v>https://app.clickup.com/t/86d3bwqhr</x:v>
      </x:c>
    </x:row>
    <x:row r="97">
      <x:c r="A97" s="16" t="str">
        <x:v>DES-01</x:v>
      </x:c>
      <x:c r="B97" s="16" t="str">
        <x:v>Design backup input storage and staging structure</x:v>
      </x:c>
      <x:c r="C97" s="16" t="str">
        <x:v>Given the PAULUS Design backup input storage and staging structure task is implemented, the feature should meet the approved capstone requirements and pass review against its expected behavior.</x:v>
      </x:c>
      <x:c r="D97" s="16" t="str">
        <x:v>ClickUp task evidence, implementation output, QA notes, screenshots, tests, or manuscript updates for Design backup input storage and staging structure.</x:v>
      </x:c>
      <x:c r="E97" s="18" t="n">
        <x:v>0.0013333333333333333</x:v>
      </x:c>
      <x:c r="F97" s="16" t="str">
        <x:v>planning/backlog</x:v>
      </x:c>
      <x:c r="G97" s="17" t="b">
        <x:v>0</x:v>
      </x:c>
      <x:c r="H97" s="16" t="str">
        <x:v>https://app.clickup.com/t/86d3bwqja</x:v>
      </x:c>
    </x:row>
    <x:row r="98">
      <x:c r="A98" s="16" t="str">
        <x:v>DEV-01</x:v>
      </x:c>
      <x:c r="B98" s="16" t="str">
        <x:v>Build backup input storage and staging structure</x:v>
      </x:c>
      <x:c r="C98" s="16" t="str">
        <x:v>Given the PAULUS Build backup input storage and staging structure task is implemented, the feature should meet the approved capstone requirements and pass review against its expected behavior.</x:v>
      </x:c>
      <x:c r="D98" s="16" t="str">
        <x:v>ClickUp task evidence, implementation output, QA notes, screenshots, tests, or manuscript updates for Build backup input storage and staging structure.</x:v>
      </x:c>
      <x:c r="E98" s="18" t="n">
        <x:v>0.0013333333333333333</x:v>
      </x:c>
      <x:c r="F98" s="16" t="str">
        <x:v>planning/backlog</x:v>
      </x:c>
      <x:c r="G98" s="17" t="b">
        <x:v>0</x:v>
      </x:c>
      <x:c r="H98" s="16" t="str">
        <x:v>https://app.clickup.com/t/86d3bwqkn</x:v>
      </x:c>
    </x:row>
    <x:row r="99">
      <x:c r="A99" s="16" t="str">
        <x:v>TEST-01</x:v>
      </x:c>
      <x:c r="B99" s="16" t="str">
        <x:v>Test duplicate handling, validation rules, and import constraints</x:v>
      </x:c>
      <x:c r="C99" s="16" t="str">
        <x:v>Given the PAULUS Test duplicate handling, validation rules, and import constraints task is implemented, the feature should meet the approved capstone requirements and pass review against its expected behavior.</x:v>
      </x:c>
      <x:c r="D99" s="16" t="str">
        <x:v>ClickUp task evidence, implementation output, QA notes, screenshots, tests, or manuscript updates for Test duplicate handling, validation rules, and import constraints.</x:v>
      </x:c>
      <x:c r="E99" s="18" t="n">
        <x:v>0.0013333333333333333</x:v>
      </x:c>
      <x:c r="F99" s="16" t="str">
        <x:v>planning/backlog</x:v>
      </x:c>
      <x:c r="G99" s="17" t="b">
        <x:v>0</x:v>
      </x:c>
      <x:c r="H99" s="16" t="str">
        <x:v>https://app.clickup.com/t/86d3bwqkz</x:v>
      </x:c>
    </x:row>
    <x:row r="100">
      <x:c r="A100" s="16" t="str">
        <x:v>FIX-01</x:v>
      </x:c>
      <x:c r="B100" s="16" t="str">
        <x:v>Resolve financial backup input storage issues</x:v>
      </x:c>
      <x:c r="C100" s="16" t="str">
        <x:v>Given the PAULUS Resolve financial backup input storage issues task is implemented, the feature should meet the approved capstone requirements and pass review against its expected behavior.</x:v>
      </x:c>
      <x:c r="D100" s="16" t="str">
        <x:v>ClickUp task evidence, implementation output, QA notes, screenshots, tests, or manuscript updates for Resolve financial backup input storage issues.</x:v>
      </x:c>
      <x:c r="E100" s="18" t="n">
        <x:v>0.0013333333333333333</x:v>
      </x:c>
      <x:c r="F100" s="16" t="str">
        <x:v>planning/backlog</x:v>
      </x:c>
      <x:c r="G100" s="17" t="b">
        <x:v>0</x:v>
      </x:c>
      <x:c r="H100" s="16" t="str">
        <x:v>https://app.clickup.com/t/86d3bwqpk</x:v>
      </x:c>
    </x:row>
    <x:row r="101">
      <x:c r="A101" s="16" t="str">
        <x:v>MS-01</x:v>
      </x:c>
      <x:c r="B101" s="16" t="str">
        <x:v>Document financial backup input storage design</x:v>
      </x:c>
      <x:c r="C101" s="16" t="str">
        <x:v>Given the PAULUS Document financial backup input storage design task is implemented, the feature should meet the approved capstone requirements and pass review against its expected behavior.</x:v>
      </x:c>
      <x:c r="D101" s="16" t="str">
        <x:v>ClickUp task evidence, implementation output, QA notes, screenshots, tests, or manuscript updates for Document financial backup input storage design.</x:v>
      </x:c>
      <x:c r="E101" s="18" t="n">
        <x:v>0.0013333333333333333</x:v>
      </x:c>
      <x:c r="F101" s="16" t="str">
        <x:v>planning/backlog</x:v>
      </x:c>
      <x:c r="G101" s="17" t="b">
        <x:v>0</x:v>
      </x:c>
      <x:c r="H101" s="16" t="str">
        <x:v>https://app.clickup.com/t/86d3bwqq9</x:v>
      </x:c>
    </x:row>
    <x:row r="102">
      <x:c r="A102" s="26" t="str">
        <x:v>Total Accomplished</x:v>
      </x:c>
      <x:c r="B102" s="26" t="str"/>
      <x:c r="C102" s="26" t="str"/>
      <x:c r="D102" s="26" t="str"/>
      <x:c r="E102" s="27" t="n">
        <x:f>SUM(E96:E101)</x:f>
        <x:v>0.008</x:v>
      </x:c>
      <x:c r="F102" s="27" t="str"/>
      <x:c r="G102" s="27" t="n">
        <x:f>SUMIF(G96:G101, TRUE, E96:E101)</x:f>
        <x:v>0</x:v>
      </x:c>
      <x:c r="H102" s="26" t="str"/>
    </x:row>
    <x:row r="105">
      <x:c r="A105" s="34" t="str">
        <x:v>Module Accomplishment</x:v>
      </x:c>
      <x:c r="B105" s="34" t="str">
        <x:v>MOD-DB</x:v>
      </x:c>
      <x:c r="C105" s="34" t="str">
        <x:v>Database, ETL, and Storage Layers</x:v>
      </x:c>
      <x:c r="D105" s="34" t="str"/>
      <x:c r="E105" s="35" t="n">
        <x:v>0.08</x:v>
      </x:c>
      <x:c r="F105" s="35" t="str"/>
      <x:c r="G105" s="35" t="n">
        <x:f>SUM('MOD-DB'!G9,'MOD-DB'!G19,'MOD-DB'!G31,'MOD-DB'!G41,'MOD-DB'!G51,'MOD-DB'!G62,'MOD-DB'!G72,'MOD-DB'!G82,'MOD-DB'!G92,'MOD-DB'!G102)</x:f>
        <x:v>0</x:v>
      </x:c>
      <x:c r="H105" s="34" t="str"/>
    </x:row>
  </x:sheetData>
  <x:dataValidations count="10">
    <x:dataValidation type="list" sqref="G3:G8">
      <x:formula1>"TRUE,FALSE"</x:formula1>
    </x:dataValidation>
    <x:dataValidation type="list" sqref="G13:G18">
      <x:formula1>"TRUE,FALSE"</x:formula1>
    </x:dataValidation>
    <x:dataValidation type="list" sqref="G23:G30">
      <x:formula1>"TRUE,FALSE"</x:formula1>
    </x:dataValidation>
    <x:dataValidation type="list" sqref="G35:G40">
      <x:formula1>"TRUE,FALSE"</x:formula1>
    </x:dataValidation>
    <x:dataValidation type="list" sqref="G45:G50">
      <x:formula1>"TRUE,FALSE"</x:formula1>
    </x:dataValidation>
    <x:dataValidation type="list" sqref="G55:G61">
      <x:formula1>"TRUE,FALSE"</x:formula1>
    </x:dataValidation>
    <x:dataValidation type="list" sqref="G66:G71">
      <x:formula1>"TRUE,FALSE"</x:formula1>
    </x:dataValidation>
    <x:dataValidation type="list" sqref="G76:G81">
      <x:formula1>"TRUE,FALSE"</x:formula1>
    </x:dataValidation>
    <x:dataValidation type="list" sqref="G86:G91">
      <x:formula1>"TRUE,FALSE"</x:formula1>
    </x:dataValidation>
    <x:dataValidation type="list" sqref="G96:G101">
      <x:formula1>"TRUE,FALSE"</x:formula1>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32.5" hidden="0" customWidth="1"/>
    <x:col min="3" max="3" width="47.5" hidden="0" customWidth="1"/>
    <x:col min="4" max="4" width="42.5" hidden="0" customWidth="1"/>
    <x:col min="5" max="5" width="15" hidden="0" customWidth="1"/>
    <x:col min="6" max="6" width="16.8799991607666" hidden="0" customWidth="1"/>
    <x:col min="7" max="7" width="16.8799991607666" hidden="0" customWidth="1"/>
    <x:col min="8" max="8" width="28.75" hidden="0" customWidth="1"/>
  </x:cols>
  <x:sheetData>
    <x:row r="1">
      <x:c r="A1" s="4" t="str">
        <x:v>Task ID</x:v>
      </x:c>
      <x:c r="B1" s="4" t="str">
        <x:v>RATIO</x:v>
      </x:c>
      <x:c r="C1" s="4" t="str">
        <x:v>Task Name</x:v>
      </x:c>
      <x:c r="D1" s="4" t="str">
        <x:v>Financial Ratio Analysis Module</x:v>
      </x:c>
      <x:c r="E1" s="4" t="str"/>
      <x:c r="F1" s="4" t="str">
        <x:v>planning/backlog</x:v>
      </x:c>
      <x:c r="G1" s="4" t="str"/>
      <x:c r="H1" s="4" t="str">
        <x:v>https://app.clickup.com/t/86d38tg2f</x:v>
      </x:c>
    </x:row>
    <x:row r="2">
      <x:c r="A2" s="8" t="str">
        <x:v>Subtask ID</x:v>
      </x:c>
      <x:c r="B2" s="8" t="str">
        <x:v>Subtask / Task Name</x:v>
      </x:c>
      <x:c r="C2" s="8" t="str">
        <x:v>Acceptance Criteria</x:v>
      </x:c>
      <x:c r="D2" s="8" t="str">
        <x:v>Evidence / Deliverable</x:v>
      </x:c>
      <x:c r="E2" s="8" t="str">
        <x:v>Weight Allocation</x:v>
      </x:c>
      <x:c r="F2" s="8" t="str">
        <x:v>ClickUp Status</x:v>
      </x:c>
      <x:c r="G2" s="8" t="str">
        <x:v>Accepted</x:v>
      </x:c>
      <x:c r="H2" s="8" t="str">
        <x:v>ClickUp URL</x:v>
      </x:c>
    </x:row>
    <x:row r="3">
      <x:c r="A3" s="16" t="str">
        <x:v>REQ-01</x:v>
      </x:c>
      <x:c r="B3" s="16" t="str">
        <x:v>Define financial ratio analysis module requirements</x:v>
      </x:c>
      <x:c r="C3" s="16" t="str">
        <x:v>Given the PAULUS Define financial ratio analysis module requirements task is implemented, the feature should meet the approved capstone requirements and pass review against its expected behavior.</x:v>
      </x:c>
      <x:c r="D3" s="16" t="str">
        <x:v>ClickUp task evidence, implementation output, QA notes, screenshots, tests, or manuscript updates for Define financial ratio analysis module requirements.</x:v>
      </x:c>
      <x:c r="E3" s="18" t="n">
        <x:v>0.007916666666666666</x:v>
      </x:c>
      <x:c r="F3" s="16" t="str">
        <x:v>standardized subtask - URL pending</x:v>
      </x:c>
      <x:c r="G3" s="17" t="b">
        <x:v>0</x:v>
      </x:c>
      <x:c r="H3" s="16" t="str"/>
    </x:row>
    <x:row r="4">
      <x:c r="A4" s="16" t="str">
        <x:v>DES-01</x:v>
      </x:c>
      <x:c r="B4" s="16" t="str">
        <x:v>Design financial ratio analysis module structure and workflow</x:v>
      </x:c>
      <x:c r="C4" s="16" t="str">
        <x:v>Given the PAULUS Design financial ratio analysis module structure and workflow task is implemented, the feature should meet the approved capstone requirements and pass review against its expected behavior.</x:v>
      </x:c>
      <x:c r="D4" s="16" t="str">
        <x:v>ClickUp task evidence, implementation output, QA notes, screenshots, tests, or manuscript updates for Design financial ratio analysis module structure and workflow.</x:v>
      </x:c>
      <x:c r="E4" s="18" t="n">
        <x:v>0.007916666666666666</x:v>
      </x:c>
      <x:c r="F4" s="16" t="str">
        <x:v>standardized subtask - URL pending</x:v>
      </x:c>
      <x:c r="G4" s="17" t="b">
        <x:v>0</x:v>
      </x:c>
      <x:c r="H4" s="16" t="str"/>
    </x:row>
    <x:row r="5">
      <x:c r="A5" s="16" t="str">
        <x:v>DEV-01</x:v>
      </x:c>
      <x:c r="B5" s="16" t="str">
        <x:v>Implement financial ratio analysis module baseline functionality</x:v>
      </x:c>
      <x:c r="C5" s="16" t="str">
        <x:v>Given the PAULUS Implement financial ratio analysis module baseline functionality task is implemented, the feature should meet the approved capstone requirements and pass review against its expected behavior.</x:v>
      </x:c>
      <x:c r="D5" s="16" t="str">
        <x:v>ClickUp task evidence, implementation output, QA notes, screenshots, tests, or manuscript updates for Implement financial ratio analysis module baseline functionality.</x:v>
      </x:c>
      <x:c r="E5" s="18" t="n">
        <x:v>0.007916666666666666</x:v>
      </x:c>
      <x:c r="F5" s="16" t="str">
        <x:v>standardized subtask - URL pending</x:v>
      </x:c>
      <x:c r="G5" s="17" t="b">
        <x:v>0</x:v>
      </x:c>
      <x:c r="H5" s="16" t="str"/>
    </x:row>
    <x:row r="6">
      <x:c r="A6" s="16" t="str">
        <x:v>TEST-01</x:v>
      </x:c>
      <x:c r="B6" s="16" t="str">
        <x:v>Test financial ratio analysis module behavior and outputs</x:v>
      </x:c>
      <x:c r="C6" s="16" t="str">
        <x:v>Given the PAULUS Test financial ratio analysis module behavior and outputs task is implemented, the feature should meet the approved capstone requirements and pass review against its expected behavior.</x:v>
      </x:c>
      <x:c r="D6" s="16" t="str">
        <x:v>ClickUp task evidence, implementation output, QA notes, screenshots, tests, or manuscript updates for Test financial ratio analysis module behavior and outputs.</x:v>
      </x:c>
      <x:c r="E6" s="18" t="n">
        <x:v>0.007916666666666666</x:v>
      </x:c>
      <x:c r="F6" s="16" t="str">
        <x:v>standardized subtask - URL pending</x:v>
      </x:c>
      <x:c r="G6" s="17" t="b">
        <x:v>0</x:v>
      </x:c>
      <x:c r="H6" s="16" t="str"/>
    </x:row>
    <x:row r="7">
      <x:c r="A7" s="16" t="str">
        <x:v>FIX-01</x:v>
      </x:c>
      <x:c r="B7" s="16" t="str">
        <x:v>Resolve financial ratio analysis module issues</x:v>
      </x:c>
      <x:c r="C7" s="16" t="str">
        <x:v>Given the PAULUS Resolve financial ratio analysis module issues task is implemented, the feature should meet the approved capstone requirements and pass review against its expected behavior.</x:v>
      </x:c>
      <x:c r="D7" s="16" t="str">
        <x:v>ClickUp task evidence, implementation output, QA notes, screenshots, tests, or manuscript updates for Resolve financial ratio analysis module issues.</x:v>
      </x:c>
      <x:c r="E7" s="18" t="n">
        <x:v>0.007916666666666666</x:v>
      </x:c>
      <x:c r="F7" s="16" t="str">
        <x:v>standardized subtask - URL pending</x:v>
      </x:c>
      <x:c r="G7" s="17" t="b">
        <x:v>0</x:v>
      </x:c>
      <x:c r="H7" s="16" t="str"/>
    </x:row>
    <x:row r="8">
      <x:c r="A8" s="16" t="str">
        <x:v>MS-01</x:v>
      </x:c>
      <x:c r="B8" s="16" t="str">
        <x:v>Document financial ratio analysis module in Chapter 4</x:v>
      </x:c>
      <x:c r="C8" s="16" t="str">
        <x:v>Given the PAULUS Document financial ratio analysis module in Chapter 4 task is implemented, the feature should meet the approved capstone requirements and pass review against its expected behavior.</x:v>
      </x:c>
      <x:c r="D8" s="16" t="str">
        <x:v>ClickUp task evidence, implementation output, QA notes, screenshots, tests, or manuscript updates for Document financial ratio analysis module in Chapter 4.</x:v>
      </x:c>
      <x:c r="E8" s="18" t="n">
        <x:v>0.007916666666666666</x:v>
      </x:c>
      <x:c r="F8" s="16" t="str">
        <x:v>standardized subtask - URL pending</x:v>
      </x:c>
      <x:c r="G8" s="17" t="b">
        <x:v>0</x:v>
      </x:c>
      <x:c r="H8" s="16" t="str"/>
    </x:row>
    <x:row r="9">
      <x:c r="A9" s="26" t="str">
        <x:v>Total Accomplished</x:v>
      </x:c>
      <x:c r="B9" s="26" t="str"/>
      <x:c r="C9" s="26" t="str"/>
      <x:c r="D9" s="26" t="str"/>
      <x:c r="E9" s="27" t="n">
        <x:f>SUM(E3:E8)</x:f>
        <x:v>0.0475</x:v>
      </x:c>
      <x:c r="F9" s="27" t="str"/>
      <x:c r="G9" s="27" t="n">
        <x:f>SUMIF(G3:G8, TRUE, E3:E8)</x:f>
        <x:v>0</x:v>
      </x:c>
      <x:c r="H9" s="26" t="str"/>
    </x:row>
    <x:row r="11">
      <x:c r="A11" s="4" t="str">
        <x:v>Task ID</x:v>
      </x:c>
      <x:c r="B11" s="4" t="str">
        <x:v>HEALTH</x:v>
      </x:c>
      <x:c r="C11" s="4" t="str">
        <x:v>Task Name</x:v>
      </x:c>
      <x:c r="D11" s="4" t="str">
        <x:v>Financial Health Classification Model</x:v>
      </x:c>
      <x:c r="E11" s="4" t="str"/>
      <x:c r="F11" s="4" t="str">
        <x:v>planning/backlog</x:v>
      </x:c>
      <x:c r="G11" s="4" t="str"/>
      <x:c r="H11" s="4" t="str">
        <x:v>https://app.clickup.com/t/86d38tg2t</x:v>
      </x:c>
    </x:row>
    <x:row r="12">
      <x:c r="A12" s="8" t="str">
        <x:v>Subtask ID</x:v>
      </x:c>
      <x:c r="B12" s="8" t="str">
        <x:v>Subtask / Task Name</x:v>
      </x:c>
      <x:c r="C12" s="8" t="str">
        <x:v>Acceptance Criteria</x:v>
      </x:c>
      <x:c r="D12" s="8" t="str">
        <x:v>Evidence / Deliverable</x:v>
      </x:c>
      <x:c r="E12" s="8" t="str">
        <x:v>Weight Allocation</x:v>
      </x:c>
      <x:c r="F12" s="8" t="str">
        <x:v>ClickUp Status</x:v>
      </x:c>
      <x:c r="G12" s="8" t="str">
        <x:v>Accepted</x:v>
      </x:c>
      <x:c r="H12" s="8" t="str">
        <x:v>ClickUp URL</x:v>
      </x:c>
    </x:row>
    <x:row r="13">
      <x:c r="A13" s="16" t="str">
        <x:v>REQ-01</x:v>
      </x:c>
      <x:c r="B13" s="16" t="str">
        <x:v>Define financial health classification model requirements</x:v>
      </x:c>
      <x:c r="C13" s="16" t="str">
        <x:v>Given the PAULUS Define financial health classification model requirements task is implemented, the feature should meet the approved capstone requirements and pass review against its expected behavior.</x:v>
      </x:c>
      <x:c r="D13" s="16" t="str">
        <x:v>ClickUp task evidence, implementation output, QA notes, screenshots, tests, or manuscript updates for Define financial health classification model requirements.</x:v>
      </x:c>
      <x:c r="E13" s="18" t="n">
        <x:v>0.007916666666666666</x:v>
      </x:c>
      <x:c r="F13" s="16" t="str">
        <x:v>standardized subtask - URL pending</x:v>
      </x:c>
      <x:c r="G13" s="17" t="b">
        <x:v>0</x:v>
      </x:c>
      <x:c r="H13" s="16" t="str"/>
    </x:row>
    <x:row r="14">
      <x:c r="A14" s="16" t="str">
        <x:v>DES-01</x:v>
      </x:c>
      <x:c r="B14" s="16" t="str">
        <x:v>Design financial health classification model structure and workflow</x:v>
      </x:c>
      <x:c r="C14" s="16" t="str">
        <x:v>Given the PAULUS Design financial health classification model structure and workflow task is implemented, the feature should meet the approved capstone requirements and pass review against its expected behavior.</x:v>
      </x:c>
      <x:c r="D14" s="16" t="str">
        <x:v>ClickUp task evidence, implementation output, QA notes, screenshots, tests, or manuscript updates for Design financial health classification model structure and workflow.</x:v>
      </x:c>
      <x:c r="E14" s="18" t="n">
        <x:v>0.007916666666666666</x:v>
      </x:c>
      <x:c r="F14" s="16" t="str">
        <x:v>standardized subtask - URL pending</x:v>
      </x:c>
      <x:c r="G14" s="17" t="b">
        <x:v>0</x:v>
      </x:c>
      <x:c r="H14" s="16" t="str"/>
    </x:row>
    <x:row r="15">
      <x:c r="A15" s="16" t="str">
        <x:v>DEV-01</x:v>
      </x:c>
      <x:c r="B15" s="16" t="str">
        <x:v>Implement financial health classification model baseline functionality</x:v>
      </x:c>
      <x:c r="C15" s="16" t="str">
        <x:v>Given the PAULUS Implement financial health classification model baseline functionality task is implemented, the feature should meet the approved capstone requirements and pass review against its expected behavior.</x:v>
      </x:c>
      <x:c r="D15" s="16" t="str">
        <x:v>ClickUp task evidence, implementation output, QA notes, screenshots, tests, or manuscript updates for Implement financial health classification model baseline functionality.</x:v>
      </x:c>
      <x:c r="E15" s="18" t="n">
        <x:v>0.007916666666666666</x:v>
      </x:c>
      <x:c r="F15" s="16" t="str">
        <x:v>standardized subtask - URL pending</x:v>
      </x:c>
      <x:c r="G15" s="17" t="b">
        <x:v>0</x:v>
      </x:c>
      <x:c r="H15" s="16" t="str"/>
    </x:row>
    <x:row r="16">
      <x:c r="A16" s="16" t="str">
        <x:v>TEST-01</x:v>
      </x:c>
      <x:c r="B16" s="16" t="str">
        <x:v>Test financial health classification model behavior and outputs</x:v>
      </x:c>
      <x:c r="C16" s="16" t="str">
        <x:v>Given the PAULUS Test financial health classification model behavior and outputs task is implemented, the feature should meet the approved capstone requirements and pass review against its expected behavior.</x:v>
      </x:c>
      <x:c r="D16" s="16" t="str">
        <x:v>ClickUp task evidence, implementation output, QA notes, screenshots, tests, or manuscript updates for Test financial health classification model behavior and outputs.</x:v>
      </x:c>
      <x:c r="E16" s="18" t="n">
        <x:v>0.007916666666666666</x:v>
      </x:c>
      <x:c r="F16" s="16" t="str">
        <x:v>standardized subtask - URL pending</x:v>
      </x:c>
      <x:c r="G16" s="17" t="b">
        <x:v>0</x:v>
      </x:c>
      <x:c r="H16" s="16" t="str"/>
    </x:row>
    <x:row r="17">
      <x:c r="A17" s="16" t="str">
        <x:v>FIX-01</x:v>
      </x:c>
      <x:c r="B17" s="16" t="str">
        <x:v>Resolve financial health classification model issues</x:v>
      </x:c>
      <x:c r="C17" s="16" t="str">
        <x:v>Given the PAULUS Resolve financial health classification model issues task is implemented, the feature should meet the approved capstone requirements and pass review against its expected behavior.</x:v>
      </x:c>
      <x:c r="D17" s="16" t="str">
        <x:v>ClickUp task evidence, implementation output, QA notes, screenshots, tests, or manuscript updates for Resolve financial health classification model issues.</x:v>
      </x:c>
      <x:c r="E17" s="18" t="n">
        <x:v>0.007916666666666666</x:v>
      </x:c>
      <x:c r="F17" s="16" t="str">
        <x:v>standardized subtask - URL pending</x:v>
      </x:c>
      <x:c r="G17" s="17" t="b">
        <x:v>0</x:v>
      </x:c>
      <x:c r="H17" s="16" t="str"/>
    </x:row>
    <x:row r="18">
      <x:c r="A18" s="16" t="str">
        <x:v>MS-01</x:v>
      </x:c>
      <x:c r="B18" s="16" t="str">
        <x:v>Document financial health classification model in Chapter 4</x:v>
      </x:c>
      <x:c r="C18" s="16" t="str">
        <x:v>Given the PAULUS Document financial health classification model in Chapter 4 task is implemented, the feature should meet the approved capstone requirements and pass review against its expected behavior.</x:v>
      </x:c>
      <x:c r="D18" s="16" t="str">
        <x:v>ClickUp task evidence, implementation output, QA notes, screenshots, tests, or manuscript updates for Document financial health classification model in Chapter 4.</x:v>
      </x:c>
      <x:c r="E18" s="18" t="n">
        <x:v>0.007916666666666666</x:v>
      </x:c>
      <x:c r="F18" s="16" t="str">
        <x:v>standardized subtask - URL pending</x:v>
      </x:c>
      <x:c r="G18" s="17" t="b">
        <x:v>0</x:v>
      </x:c>
      <x:c r="H18" s="16" t="str"/>
    </x:row>
    <x:row r="19">
      <x:c r="A19" s="26" t="str">
        <x:v>Total Accomplished</x:v>
      </x:c>
      <x:c r="B19" s="26" t="str"/>
      <x:c r="C19" s="26" t="str"/>
      <x:c r="D19" s="26" t="str"/>
      <x:c r="E19" s="27" t="n">
        <x:f>SUM(E13:E18)</x:f>
        <x:v>0.0475</x:v>
      </x:c>
      <x:c r="F19" s="27" t="str"/>
      <x:c r="G19" s="27" t="n">
        <x:f>SUMIF(G13:G18, TRUE, E13:E18)</x:f>
        <x:v>0</x:v>
      </x:c>
      <x:c r="H19" s="26" t="str"/>
    </x:row>
    <x:row r="21">
      <x:c r="A21" s="4" t="str">
        <x:v>Task ID</x:v>
      </x:c>
      <x:c r="B21" s="4" t="str">
        <x:v>FORECAST</x:v>
      </x:c>
      <x:c r="C21" s="4" t="str">
        <x:v>Task Name</x:v>
      </x:c>
      <x:c r="D21" s="4" t="str">
        <x:v>Short-Term Financial Forecasting</x:v>
      </x:c>
      <x:c r="E21" s="4" t="str"/>
      <x:c r="F21" s="4" t="str">
        <x:v>planning/backlog</x:v>
      </x:c>
      <x:c r="G21" s="4" t="str"/>
      <x:c r="H21" s="4" t="str">
        <x:v>https://app.clickup.com/t/86d38tg3g</x:v>
      </x:c>
    </x:row>
    <x:row r="22">
      <x:c r="A22" s="8" t="str">
        <x:v>Subtask ID</x:v>
      </x:c>
      <x:c r="B22" s="8" t="str">
        <x:v>Subtask / Task Name</x:v>
      </x:c>
      <x:c r="C22" s="8" t="str">
        <x:v>Acceptance Criteria</x:v>
      </x:c>
      <x:c r="D22" s="8" t="str">
        <x:v>Evidence / Deliverable</x:v>
      </x:c>
      <x:c r="E22" s="8" t="str">
        <x:v>Weight Allocation</x:v>
      </x:c>
      <x:c r="F22" s="8" t="str">
        <x:v>ClickUp Status</x:v>
      </x:c>
      <x:c r="G22" s="8" t="str">
        <x:v>Accepted</x:v>
      </x:c>
      <x:c r="H22" s="8" t="str">
        <x:v>ClickUp URL</x:v>
      </x:c>
    </x:row>
    <x:row r="23">
      <x:c r="A23" s="16" t="str">
        <x:v>REQ-01</x:v>
      </x:c>
      <x:c r="B23" s="16" t="str">
        <x:v>Define short-term financial forecasting module requirements</x:v>
      </x:c>
      <x:c r="C23" s="16" t="str">
        <x:v>Given the PAULUS Define short-term financial forecasting module requirements task is implemented, the feature should meet the approved capstone requirements and pass review against its expected behavior.</x:v>
      </x:c>
      <x:c r="D23" s="16" t="str">
        <x:v>ClickUp task evidence, implementation output, QA notes, screenshots, tests, or manuscript updates for Define short-term financial forecasting module requirements.</x:v>
      </x:c>
      <x:c r="E23" s="18" t="n">
        <x:v>0.007916666666666666</x:v>
      </x:c>
      <x:c r="F23" s="16" t="str">
        <x:v>standardized subtask - URL pending</x:v>
      </x:c>
      <x:c r="G23" s="17" t="b">
        <x:v>0</x:v>
      </x:c>
      <x:c r="H23" s="16" t="str"/>
    </x:row>
    <x:row r="24">
      <x:c r="A24" s="16" t="str">
        <x:v>DES-01</x:v>
      </x:c>
      <x:c r="B24" s="16" t="str">
        <x:v>Design short-term financial forecasting module structure and workflow</x:v>
      </x:c>
      <x:c r="C24" s="16" t="str">
        <x:v>Given the PAULUS Design short-term financial forecasting module structure and workflow task is implemented, the feature should meet the approved capstone requirements and pass review against its expected behavior.</x:v>
      </x:c>
      <x:c r="D24" s="16" t="str">
        <x:v>ClickUp task evidence, implementation output, QA notes, screenshots, tests, or manuscript updates for Design short-term financial forecasting module structure and workflow.</x:v>
      </x:c>
      <x:c r="E24" s="18" t="n">
        <x:v>0.007916666666666666</x:v>
      </x:c>
      <x:c r="F24" s="16" t="str">
        <x:v>standardized subtask - URL pending</x:v>
      </x:c>
      <x:c r="G24" s="17" t="b">
        <x:v>0</x:v>
      </x:c>
      <x:c r="H24" s="16" t="str"/>
    </x:row>
    <x:row r="25">
      <x:c r="A25" s="16" t="str">
        <x:v>DEV-01</x:v>
      </x:c>
      <x:c r="B25" s="16" t="str">
        <x:v>Implement short-term financial forecasting module baseline functionality</x:v>
      </x:c>
      <x:c r="C25" s="16" t="str">
        <x:v>Given the PAULUS Implement short-term financial forecasting module baseline functionality task is implemented, the feature should meet the approved capstone requirements and pass review against its expected behavior.</x:v>
      </x:c>
      <x:c r="D25" s="16" t="str">
        <x:v>ClickUp task evidence, implementation output, QA notes, screenshots, tests, or manuscript updates for Implement short-term financial forecasting module baseline functionality.</x:v>
      </x:c>
      <x:c r="E25" s="18" t="n">
        <x:v>0.007916666666666666</x:v>
      </x:c>
      <x:c r="F25" s="16" t="str">
        <x:v>standardized subtask - URL pending</x:v>
      </x:c>
      <x:c r="G25" s="17" t="b">
        <x:v>0</x:v>
      </x:c>
      <x:c r="H25" s="16" t="str"/>
    </x:row>
    <x:row r="26">
      <x:c r="A26" s="16" t="str">
        <x:v>TEST-01</x:v>
      </x:c>
      <x:c r="B26" s="16" t="str">
        <x:v>Test short-term financial forecasting module behavior and outputs</x:v>
      </x:c>
      <x:c r="C26" s="16" t="str">
        <x:v>Given the PAULUS Test short-term financial forecasting module behavior and outputs task is implemented, the feature should meet the approved capstone requirements and pass review against its expected behavior.</x:v>
      </x:c>
      <x:c r="D26" s="16" t="str">
        <x:v>ClickUp task evidence, implementation output, QA notes, screenshots, tests, or manuscript updates for Test short-term financial forecasting module behavior and outputs.</x:v>
      </x:c>
      <x:c r="E26" s="18" t="n">
        <x:v>0.007916666666666666</x:v>
      </x:c>
      <x:c r="F26" s="16" t="str">
        <x:v>standardized subtask - URL pending</x:v>
      </x:c>
      <x:c r="G26" s="17" t="b">
        <x:v>0</x:v>
      </x:c>
      <x:c r="H26" s="16" t="str"/>
    </x:row>
    <x:row r="27">
      <x:c r="A27" s="16" t="str">
        <x:v>FIX-01</x:v>
      </x:c>
      <x:c r="B27" s="16" t="str">
        <x:v>Resolve short-term financial forecasting module issues</x:v>
      </x:c>
      <x:c r="C27" s="16" t="str">
        <x:v>Given the PAULUS Resolve short-term financial forecasting module issues task is implemented, the feature should meet the approved capstone requirements and pass review against its expected behavior.</x:v>
      </x:c>
      <x:c r="D27" s="16" t="str">
        <x:v>ClickUp task evidence, implementation output, QA notes, screenshots, tests, or manuscript updates for Resolve short-term financial forecasting module issues.</x:v>
      </x:c>
      <x:c r="E27" s="18" t="n">
        <x:v>0.007916666666666666</x:v>
      </x:c>
      <x:c r="F27" s="16" t="str">
        <x:v>standardized subtask - URL pending</x:v>
      </x:c>
      <x:c r="G27" s="17" t="b">
        <x:v>0</x:v>
      </x:c>
      <x:c r="H27" s="16" t="str"/>
    </x:row>
    <x:row r="28">
      <x:c r="A28" s="16" t="str">
        <x:v>MS-01</x:v>
      </x:c>
      <x:c r="B28" s="16" t="str">
        <x:v>Document short-term financial forecasting module in Chapter 4</x:v>
      </x:c>
      <x:c r="C28" s="16" t="str">
        <x:v>Given the PAULUS Document short-term financial forecasting module in Chapter 4 task is implemented, the feature should meet the approved capstone requirements and pass review against its expected behavior.</x:v>
      </x:c>
      <x:c r="D28" s="16" t="str">
        <x:v>ClickUp task evidence, implementation output, QA notes, screenshots, tests, or manuscript updates for Document short-term financial forecasting module in Chapter 4.</x:v>
      </x:c>
      <x:c r="E28" s="18" t="n">
        <x:v>0.007916666666666666</x:v>
      </x:c>
      <x:c r="F28" s="16" t="str">
        <x:v>standardized subtask - URL pending</x:v>
      </x:c>
      <x:c r="G28" s="17" t="b">
        <x:v>0</x:v>
      </x:c>
      <x:c r="H28" s="16" t="str"/>
    </x:row>
    <x:row r="29">
      <x:c r="A29" s="26" t="str">
        <x:v>Total Accomplished</x:v>
      </x:c>
      <x:c r="B29" s="26" t="str"/>
      <x:c r="C29" s="26" t="str"/>
      <x:c r="D29" s="26" t="str"/>
      <x:c r="E29" s="27" t="n">
        <x:f>SUM(E23:E28)</x:f>
        <x:v>0.0475</x:v>
      </x:c>
      <x:c r="F29" s="27" t="str"/>
      <x:c r="G29" s="27" t="n">
        <x:f>SUMIF(G23:G28, TRUE, E23:E28)</x:f>
        <x:v>0</x:v>
      </x:c>
      <x:c r="H29" s="26" t="str"/>
    </x:row>
    <x:row r="31">
      <x:c r="A31" s="4" t="str">
        <x:v>Task ID</x:v>
      </x:c>
      <x:c r="B31" s="4" t="str">
        <x:v>RECO</x:v>
      </x:c>
      <x:c r="C31" s="4" t="str">
        <x:v>Task Name</x:v>
      </x:c>
      <x:c r="D31" s="4" t="str">
        <x:v>Decision-Support Recommendation Model</x:v>
      </x:c>
      <x:c r="E31" s="4" t="str"/>
      <x:c r="F31" s="4" t="str">
        <x:v>planning/backlog</x:v>
      </x:c>
      <x:c r="G31" s="4" t="str"/>
      <x:c r="H31" s="4" t="str">
        <x:v>https://app.clickup.com/t/86d38tg4b</x:v>
      </x:c>
    </x:row>
    <x:row r="32">
      <x:c r="A32" s="8" t="str">
        <x:v>Subtask ID</x:v>
      </x:c>
      <x:c r="B32" s="8" t="str">
        <x:v>Subtask / Task Name</x:v>
      </x:c>
      <x:c r="C32" s="8" t="str">
        <x:v>Acceptance Criteria</x:v>
      </x:c>
      <x:c r="D32" s="8" t="str">
        <x:v>Evidence / Deliverable</x:v>
      </x:c>
      <x:c r="E32" s="8" t="str">
        <x:v>Weight Allocation</x:v>
      </x:c>
      <x:c r="F32" s="8" t="str">
        <x:v>ClickUp Status</x:v>
      </x:c>
      <x:c r="G32" s="8" t="str">
        <x:v>Accepted</x:v>
      </x:c>
      <x:c r="H32" s="8" t="str">
        <x:v>ClickUp URL</x:v>
      </x:c>
    </x:row>
    <x:row r="33">
      <x:c r="A33" s="16" t="str">
        <x:v>REQ-01</x:v>
      </x:c>
      <x:c r="B33" s="16" t="str">
        <x:v>Define decision-support recommendation model requirements</x:v>
      </x:c>
      <x:c r="C33" s="16" t="str">
        <x:v>Given the PAULUS Define decision-support recommendation model requirements task is implemented, the feature should meet the approved capstone requirements and pass review against its expected behavior.</x:v>
      </x:c>
      <x:c r="D33" s="16" t="str">
        <x:v>ClickUp task evidence, implementation output, QA notes, screenshots, tests, or manuscript updates for Define decision-support recommendation model requirements.</x:v>
      </x:c>
      <x:c r="E33" s="18" t="n">
        <x:v>0.007916666666666666</x:v>
      </x:c>
      <x:c r="F33" s="16" t="str">
        <x:v>standardized subtask - URL pending</x:v>
      </x:c>
      <x:c r="G33" s="17" t="b">
        <x:v>0</x:v>
      </x:c>
      <x:c r="H33" s="16" t="str"/>
    </x:row>
    <x:row r="34">
      <x:c r="A34" s="16" t="str">
        <x:v>DES-01</x:v>
      </x:c>
      <x:c r="B34" s="16" t="str">
        <x:v>Design decision-support recommendation model structure and workflow</x:v>
      </x:c>
      <x:c r="C34" s="16" t="str">
        <x:v>Given the PAULUS Design decision-support recommendation model structure and workflow task is implemented, the feature should meet the approved capstone requirements and pass review against its expected behavior.</x:v>
      </x:c>
      <x:c r="D34" s="16" t="str">
        <x:v>ClickUp task evidence, implementation output, QA notes, screenshots, tests, or manuscript updates for Design decision-support recommendation model structure and workflow.</x:v>
      </x:c>
      <x:c r="E34" s="18" t="n">
        <x:v>0.007916666666666666</x:v>
      </x:c>
      <x:c r="F34" s="16" t="str">
        <x:v>standardized subtask - URL pending</x:v>
      </x:c>
      <x:c r="G34" s="17" t="b">
        <x:v>0</x:v>
      </x:c>
      <x:c r="H34" s="16" t="str"/>
    </x:row>
    <x:row r="35">
      <x:c r="A35" s="16" t="str">
        <x:v>DEV-01</x:v>
      </x:c>
      <x:c r="B35" s="16" t="str">
        <x:v>Implement decision-support recommendation model baseline functionality</x:v>
      </x:c>
      <x:c r="C35" s="16" t="str">
        <x:v>Given the PAULUS Implement decision-support recommendation model baseline functionality task is implemented, the feature should meet the approved capstone requirements and pass review against its expected behavior.</x:v>
      </x:c>
      <x:c r="D35" s="16" t="str">
        <x:v>ClickUp task evidence, implementation output, QA notes, screenshots, tests, or manuscript updates for Implement decision-support recommendation model baseline functionality.</x:v>
      </x:c>
      <x:c r="E35" s="18" t="n">
        <x:v>0.007916666666666666</x:v>
      </x:c>
      <x:c r="F35" s="16" t="str">
        <x:v>standardized subtask - URL pending</x:v>
      </x:c>
      <x:c r="G35" s="17" t="b">
        <x:v>0</x:v>
      </x:c>
      <x:c r="H35" s="16" t="str"/>
    </x:row>
    <x:row r="36">
      <x:c r="A36" s="16" t="str">
        <x:v>TEST-01</x:v>
      </x:c>
      <x:c r="B36" s="16" t="str">
        <x:v>Test decision-support recommendation model behavior and outputs</x:v>
      </x:c>
      <x:c r="C36" s="16" t="str">
        <x:v>Given the PAULUS Test decision-support recommendation model behavior and outputs task is implemented, the feature should meet the approved capstone requirements and pass review against its expected behavior.</x:v>
      </x:c>
      <x:c r="D36" s="16" t="str">
        <x:v>ClickUp task evidence, implementation output, QA notes, screenshots, tests, or manuscript updates for Test decision-support recommendation model behavior and outputs.</x:v>
      </x:c>
      <x:c r="E36" s="18" t="n">
        <x:v>0.007916666666666666</x:v>
      </x:c>
      <x:c r="F36" s="16" t="str">
        <x:v>standardized subtask - URL pending</x:v>
      </x:c>
      <x:c r="G36" s="17" t="b">
        <x:v>0</x:v>
      </x:c>
      <x:c r="H36" s="16" t="str"/>
    </x:row>
    <x:row r="37">
      <x:c r="A37" s="16" t="str">
        <x:v>FIX-01</x:v>
      </x:c>
      <x:c r="B37" s="16" t="str">
        <x:v>Resolve decision-support recommendation model issues</x:v>
      </x:c>
      <x:c r="C37" s="16" t="str">
        <x:v>Given the PAULUS Resolve decision-support recommendation model issues task is implemented, the feature should meet the approved capstone requirements and pass review against its expected behavior.</x:v>
      </x:c>
      <x:c r="D37" s="16" t="str">
        <x:v>ClickUp task evidence, implementation output, QA notes, screenshots, tests, or manuscript updates for Resolve decision-support recommendation model issues.</x:v>
      </x:c>
      <x:c r="E37" s="18" t="n">
        <x:v>0.007916666666666666</x:v>
      </x:c>
      <x:c r="F37" s="16" t="str">
        <x:v>standardized subtask - URL pending</x:v>
      </x:c>
      <x:c r="G37" s="17" t="b">
        <x:v>0</x:v>
      </x:c>
      <x:c r="H37" s="16" t="str"/>
    </x:row>
    <x:row r="38">
      <x:c r="A38" s="16" t="str">
        <x:v>MS-01</x:v>
      </x:c>
      <x:c r="B38" s="16" t="str">
        <x:v>Document decision-support recommendation model in Chapter 4</x:v>
      </x:c>
      <x:c r="C38" s="16" t="str">
        <x:v>Given the PAULUS Document decision-support recommendation model in Chapter 4 task is implemented, the feature should meet the approved capstone requirements and pass review against its expected behavior.</x:v>
      </x:c>
      <x:c r="D38" s="16" t="str">
        <x:v>ClickUp task evidence, implementation output, QA notes, screenshots, tests, or manuscript updates for Document decision-support recommendation model in Chapter 4.</x:v>
      </x:c>
      <x:c r="E38" s="18" t="n">
        <x:v>0.007916666666666666</x:v>
      </x:c>
      <x:c r="F38" s="16" t="str">
        <x:v>standardized subtask - URL pending</x:v>
      </x:c>
      <x:c r="G38" s="17" t="b">
        <x:v>0</x:v>
      </x:c>
      <x:c r="H38" s="16" t="str"/>
    </x:row>
    <x:row r="39">
      <x:c r="A39" s="26" t="str">
        <x:v>Total Accomplished</x:v>
      </x:c>
      <x:c r="B39" s="26" t="str"/>
      <x:c r="C39" s="26" t="str"/>
      <x:c r="D39" s="26" t="str"/>
      <x:c r="E39" s="27" t="n">
        <x:f>SUM(E33:E38)</x:f>
        <x:v>0.0475</x:v>
      </x:c>
      <x:c r="F39" s="27" t="str"/>
      <x:c r="G39" s="27" t="n">
        <x:f>SUMIF(G33:G38, TRUE, E33:E38)</x:f>
        <x:v>0</x:v>
      </x:c>
      <x:c r="H39" s="26" t="str"/>
    </x:row>
    <x:row r="41">
      <x:c r="A41" s="4" t="str">
        <x:v>Task ID</x:v>
      </x:c>
      <x:c r="B41" s="4" t="str">
        <x:v>LITCAL</x:v>
      </x:c>
      <x:c r="C41" s="4" t="str">
        <x:v>Task Name</x:v>
      </x:c>
      <x:c r="D41" s="4" t="str">
        <x:v>Liturgical Calendar Data Pipeline</x:v>
      </x:c>
      <x:c r="E41" s="4" t="str"/>
      <x:c r="F41" s="4" t="str">
        <x:v>for qa / internal testing</x:v>
      </x:c>
      <x:c r="G41" s="4" t="str"/>
      <x:c r="H41" s="4" t="str">
        <x:v>https://app.clickup.com/t/86d38tg4j</x:v>
      </x:c>
    </x:row>
    <x:row r="42">
      <x:c r="A42" s="8" t="str">
        <x:v>Subtask ID</x:v>
      </x:c>
      <x:c r="B42" s="8" t="str">
        <x:v>Subtask / Task Name</x:v>
      </x:c>
      <x:c r="C42" s="8" t="str">
        <x:v>Acceptance Criteria</x:v>
      </x:c>
      <x:c r="D42" s="8" t="str">
        <x:v>Evidence / Deliverable</x:v>
      </x:c>
      <x:c r="E42" s="8" t="str">
        <x:v>Weight Allocation</x:v>
      </x:c>
      <x:c r="F42" s="8" t="str">
        <x:v>ClickUp Status</x:v>
      </x:c>
      <x:c r="G42" s="8" t="str">
        <x:v>Accepted</x:v>
      </x:c>
      <x:c r="H42" s="8" t="str">
        <x:v>ClickUp URL</x:v>
      </x:c>
    </x:row>
    <x:row r="43">
      <x:c r="A43" s="16" t="str">
        <x:v>BUS-01</x:v>
      </x:c>
      <x:c r="B43" s="16" t="str">
        <x:v>Define liturgical calendar data requirements and seasonality use</x:v>
      </x:c>
      <x:c r="C43" s="16" t="str">
        <x:v>Given the PAULUS Define liturgical calendar data requirements and seasonality use task is implemented, the feature should meet the approved capstone requirements and pass review against its expected behavior.</x:v>
      </x:c>
      <x:c r="D43" s="16" t="str">
        <x:v>ClickUp task evidence, implementation output, QA notes, screenshots, tests, or manuscript updates for Define liturgical calendar data requirements and seasonality use.</x:v>
      </x:c>
      <x:c r="E43" s="18" t="n">
        <x:v>0.004318181818181817</x:v>
      </x:c>
      <x:c r="F43" s="16" t="str">
        <x:v>planning/backlog</x:v>
      </x:c>
      <x:c r="G43" s="17" t="b">
        <x:v>0</x:v>
      </x:c>
      <x:c r="H43" s="16" t="str">
        <x:v>https://app.clickup.com/t/86d390k32</x:v>
      </x:c>
    </x:row>
    <x:row r="44">
      <x:c r="A44" s="16" t="str">
        <x:v>DU-01</x:v>
      </x:c>
      <x:c r="B44" s="16" t="str">
        <x:v>Review liturgical calendar data sources and cross-validators</x:v>
      </x:c>
      <x:c r="C44" s="16" t="str">
        <x:v>Given the PAULUS Review liturgical calendar data sources and cross-validators task is implemented, the feature should meet the approved capstone requirements and pass review against its expected behavior.</x:v>
      </x:c>
      <x:c r="D44" s="16" t="str">
        <x:v>ClickUp task evidence, implementation output, QA notes, screenshots, tests, or manuscript updates for Review liturgical calendar data sources and cross-validators.</x:v>
      </x:c>
      <x:c r="E44" s="18" t="n">
        <x:v>0.004318181818181817</x:v>
      </x:c>
      <x:c r="F44" s="16" t="str">
        <x:v>planning/backlog</x:v>
      </x:c>
      <x:c r="G44" s="17" t="b">
        <x:v>0</x:v>
      </x:c>
      <x:c r="H44" s="16" t="str">
        <x:v>https://app.clickup.com/t/86d390k61</x:v>
      </x:c>
    </x:row>
    <x:row r="45">
      <x:c r="A45" s="16" t="str">
        <x:v>SRC-01</x:v>
      </x:c>
      <x:c r="B45" s="16" t="str">
        <x:v>Prepare GCATHOLIC source mapping for liturgical calendar ingestion</x:v>
      </x:c>
      <x:c r="C45" s="16" t="str">
        <x:v>Given the PAULUS Prepare GCATHOLIC source mapping for liturgical calendar ingestion task is implemented, the feature should meet the approved capstone requirements and pass review against its expected behavior.</x:v>
      </x:c>
      <x:c r="D45" s="16" t="str">
        <x:v>ClickUp task evidence, implementation output, QA notes, screenshots, tests, or manuscript updates for Prepare GCATHOLIC source mapping for liturgical calendar ingestion.</x:v>
      </x:c>
      <x:c r="E45" s="18" t="n">
        <x:v>0.004318181818181817</x:v>
      </x:c>
      <x:c r="F45" s="16" t="str">
        <x:v>planning/backlog</x:v>
      </x:c>
      <x:c r="G45" s="17" t="b">
        <x:v>0</x:v>
      </x:c>
      <x:c r="H45" s="16" t="str">
        <x:v>https://app.clickup.com/t/86d3bwr22</x:v>
      </x:c>
    </x:row>
    <x:row r="46">
      <x:c r="A46" s="16" t="str">
        <x:v>SRC-02</x:v>
      </x:c>
      <x:c r="B46" s="16" t="str">
        <x:v>Prepare LITCAL source mapping for liturgical calendar ingestion</x:v>
      </x:c>
      <x:c r="C46" s="16" t="str">
        <x:v>Given the PAULUS Prepare LITCAL source mapping for liturgical calendar ingestion task is implemented, the feature should meet the approved capstone requirements and pass review against its expected behavior.</x:v>
      </x:c>
      <x:c r="D46" s="16" t="str">
        <x:v>ClickUp task evidence, implementation output, QA notes, screenshots, tests, or manuscript updates for Prepare LITCAL source mapping for liturgical calendar ingestion.</x:v>
      </x:c>
      <x:c r="E46" s="18" t="n">
        <x:v>0.004318181818181817</x:v>
      </x:c>
      <x:c r="F46" s="16" t="str">
        <x:v>planning/backlog</x:v>
      </x:c>
      <x:c r="G46" s="17" t="b">
        <x:v>0</x:v>
      </x:c>
      <x:c r="H46" s="16" t="str">
        <x:v>https://app.clickup.com/t/86d3bwr2p</x:v>
      </x:c>
    </x:row>
    <x:row r="47">
      <x:c r="A47" s="16" t="str">
        <x:v>SRC-03</x:v>
      </x:c>
      <x:c r="B47" s="16" t="str">
        <x:v>Prepare ROMCAL source mapping for liturgical calendar ingestion</x:v>
      </x:c>
      <x:c r="C47" s="16" t="str">
        <x:v>Given the PAULUS Prepare ROMCAL source mapping for liturgical calendar ingestion task is implemented, the feature should meet the approved capstone requirements and pass review against its expected behavior.</x:v>
      </x:c>
      <x:c r="D47" s="16" t="str">
        <x:v>ClickUp task evidence, implementation output, QA notes, screenshots, tests, or manuscript updates for Prepare ROMCAL source mapping for liturgical calendar ingestion.</x:v>
      </x:c>
      <x:c r="E47" s="18" t="n">
        <x:v>0.004318181818181817</x:v>
      </x:c>
      <x:c r="F47" s="16" t="str">
        <x:v>planning/backlog</x:v>
      </x:c>
      <x:c r="G47" s="17" t="b">
        <x:v>0</x:v>
      </x:c>
      <x:c r="H47" s="16" t="str">
        <x:v>https://app.clickup.com/t/86d3bwr3c</x:v>
      </x:c>
    </x:row>
    <x:row r="48">
      <x:c r="A48" s="16" t="str">
        <x:v>DP-01</x:v>
      </x:c>
      <x:c r="B48" s="16" t="str">
        <x:v>Build liturgical calendar data ingestion pipeline</x:v>
      </x:c>
      <x:c r="C48" s="16" t="str">
        <x:v>Given the PAULUS Build liturgical calendar data ingestion pipeline task is implemented, the feature should meet the approved capstone requirements and pass review against its expected behavior.</x:v>
      </x:c>
      <x:c r="D48" s="16" t="str">
        <x:v>ClickUp task evidence, implementation output, QA notes, screenshots, tests, or manuscript updates for Build liturgical calendar data ingestion pipeline.</x:v>
      </x:c>
      <x:c r="E48" s="18" t="n">
        <x:v>0.004318181818181817</x:v>
      </x:c>
      <x:c r="F48" s="16" t="str">
        <x:v>planning/backlog</x:v>
      </x:c>
      <x:c r="G48" s="17" t="b">
        <x:v>0</x:v>
      </x:c>
      <x:c r="H48" s="16" t="str">
        <x:v>https://app.clickup.com/t/86d390k9n</x:v>
      </x:c>
    </x:row>
    <x:row r="49">
      <x:c r="A49" s="16" t="str">
        <x:v>MODEL-01</x:v>
      </x:c>
      <x:c r="B49" s="16" t="str">
        <x:v>Implement calendar validation and cross-check logic</x:v>
      </x:c>
      <x:c r="C49" s="16" t="str">
        <x:v>Given the PAULUS Implement calendar validation and cross-check logic task is implemented, the feature should meet the approved capstone requirements and pass review against its expected behavior.</x:v>
      </x:c>
      <x:c r="D49" s="16" t="str">
        <x:v>ClickUp task evidence, implementation output, QA notes, screenshots, tests, or manuscript updates for Implement calendar validation and cross-check logic.</x:v>
      </x:c>
      <x:c r="E49" s="18" t="n">
        <x:v>0.004318181818181817</x:v>
      </x:c>
      <x:c r="F49" s="16" t="str">
        <x:v>planning/backlog</x:v>
      </x:c>
      <x:c r="G49" s="17" t="b">
        <x:v>0</x:v>
      </x:c>
      <x:c r="H49" s="16" t="str">
        <x:v>https://app.clickup.com/t/86d390kb3</x:v>
      </x:c>
    </x:row>
    <x:row r="50">
      <x:c r="A50" s="16" t="str">
        <x:v>MODEL-02</x:v>
      </x:c>
      <x:c r="B50" s="16" t="str">
        <x:v>Program future calendar generation using pattern searching</x:v>
      </x:c>
      <x:c r="C50" s="16" t="str">
        <x:v>Given the PAULUS Program future calendar generation using pattern searching task is implemented, the feature should meet the approved capstone requirements and pass review against its expected behavior.</x:v>
      </x:c>
      <x:c r="D50" s="16" t="str">
        <x:v>ClickUp task evidence, implementation output, QA notes, screenshots, tests, or manuscript updates for Program future calendar generation using pattern searching.</x:v>
      </x:c>
      <x:c r="E50" s="18" t="n">
        <x:v>0.004318181818181817</x:v>
      </x:c>
      <x:c r="F50" s="16" t="str">
        <x:v>planning/backlog</x:v>
      </x:c>
      <x:c r="G50" s="17" t="b">
        <x:v>0</x:v>
      </x:c>
      <x:c r="H50" s="16" t="str">
        <x:v>https://app.clickup.com/t/86d3bwr48</x:v>
      </x:c>
    </x:row>
    <x:row r="51">
      <x:c r="A51" s="16" t="str">
        <x:v>DEP-01</x:v>
      </x:c>
      <x:c r="B51" s="16" t="str">
        <x:v>Load validated liturgical calendar data into database</x:v>
      </x:c>
      <x:c r="C51" s="16" t="str">
        <x:v>Given the PAULUS Load validated liturgical calendar data into database task is implemented, the feature should meet the approved capstone requirements and pass review against its expected behavior.</x:v>
      </x:c>
      <x:c r="D51" s="16" t="str">
        <x:v>ClickUp task evidence, implementation output, QA notes, screenshots, tests, or manuscript updates for Load validated liturgical calendar data into database.</x:v>
      </x:c>
      <x:c r="E51" s="18" t="n">
        <x:v>0.004318181818181817</x:v>
      </x:c>
      <x:c r="F51" s="16" t="str">
        <x:v>planning/backlog</x:v>
      </x:c>
      <x:c r="G51" s="17" t="b">
        <x:v>0</x:v>
      </x:c>
      <x:c r="H51" s="16" t="str">
        <x:v>https://app.clickup.com/t/86d390kn9</x:v>
      </x:c>
    </x:row>
    <x:row r="52">
      <x:c r="A52" s="16" t="str">
        <x:v>EVAL-01</x:v>
      </x:c>
      <x:c r="B52" s="16" t="str">
        <x:v>Validate liturgical calendar data accuracy</x:v>
      </x:c>
      <x:c r="C52" s="16" t="str">
        <x:v>Given the PAULUS Validate liturgical calendar data accuracy task is implemented, the feature should meet the approved capstone requirements and pass review against its expected behavior.</x:v>
      </x:c>
      <x:c r="D52" s="16" t="str">
        <x:v>ClickUp task evidence, implementation output, QA notes, screenshots, tests, or manuscript updates for Validate liturgical calendar data accuracy.</x:v>
      </x:c>
      <x:c r="E52" s="18" t="n">
        <x:v>0.004318181818181817</x:v>
      </x:c>
      <x:c r="F52" s="16" t="str">
        <x:v>planning/backlog</x:v>
      </x:c>
      <x:c r="G52" s="17" t="b">
        <x:v>0</x:v>
      </x:c>
      <x:c r="H52" s="16" t="str">
        <x:v>https://app.clickup.com/t/86d390kf6</x:v>
      </x:c>
    </x:row>
    <x:row r="53">
      <x:c r="A53" s="16" t="str">
        <x:v>MS-01</x:v>
      </x:c>
      <x:c r="B53" s="16" t="str">
        <x:v>Document liturgical calendar pipeline process</x:v>
      </x:c>
      <x:c r="C53" s="16" t="str">
        <x:v>Given the PAULUS Document liturgical calendar pipeline process task is implemented, the feature should meet the approved capstone requirements and pass review against its expected behavior.</x:v>
      </x:c>
      <x:c r="D53" s="16" t="str">
        <x:v>ClickUp task evidence, implementation output, QA notes, screenshots, tests, or manuscript updates for Document liturgical calendar pipeline process.</x:v>
      </x:c>
      <x:c r="E53" s="18" t="n">
        <x:v>0.004318181818181817</x:v>
      </x:c>
      <x:c r="F53" s="16" t="str">
        <x:v>planning/backlog</x:v>
      </x:c>
      <x:c r="G53" s="17" t="b">
        <x:v>0</x:v>
      </x:c>
      <x:c r="H53" s="16" t="str">
        <x:v>https://app.clickup.com/t/86d390kpr</x:v>
      </x:c>
    </x:row>
    <x:row r="54">
      <x:c r="A54" s="26" t="str">
        <x:v>Total Accomplished</x:v>
      </x:c>
      <x:c r="B54" s="26" t="str"/>
      <x:c r="C54" s="26" t="str"/>
      <x:c r="D54" s="26" t="str"/>
      <x:c r="E54" s="27" t="n">
        <x:f>SUM(E43:E53)</x:f>
        <x:v>0.047499999999999994</x:v>
      </x:c>
      <x:c r="F54" s="27" t="str"/>
      <x:c r="G54" s="27" t="n">
        <x:f>SUMIF(G43:G53, TRUE, E43:E53)</x:f>
        <x:v>0</x:v>
      </x:c>
      <x:c r="H54" s="26" t="str"/>
    </x:row>
    <x:row r="56">
      <x:c r="A56" s="4" t="str">
        <x:v>Task ID</x:v>
      </x:c>
      <x:c r="B56" s="4" t="str">
        <x:v>WEATHER</x:v>
      </x:c>
      <x:c r="C56" s="4" t="str">
        <x:v>Task Name</x:v>
      </x:c>
      <x:c r="D56" s="4" t="str">
        <x:v>Weather Data Collection Pipeline</x:v>
      </x:c>
      <x:c r="E56" s="4" t="str"/>
      <x:c r="F56" s="4" t="str">
        <x:v>in progress</x:v>
      </x:c>
      <x:c r="G56" s="4" t="str"/>
      <x:c r="H56" s="4" t="str">
        <x:v>https://app.clickup.com/t/86d39pnnk</x:v>
      </x:c>
    </x:row>
    <x:row r="57">
      <x:c r="A57" s="8" t="str">
        <x:v>Subtask ID</x:v>
      </x:c>
      <x:c r="B57" s="8" t="str">
        <x:v>Subtask / Task Name</x:v>
      </x:c>
      <x:c r="C57" s="8" t="str">
        <x:v>Acceptance Criteria</x:v>
      </x:c>
      <x:c r="D57" s="8" t="str">
        <x:v>Evidence / Deliverable</x:v>
      </x:c>
      <x:c r="E57" s="8" t="str">
        <x:v>Weight Allocation</x:v>
      </x:c>
      <x:c r="F57" s="8" t="str">
        <x:v>ClickUp Status</x:v>
      </x:c>
      <x:c r="G57" s="8" t="str">
        <x:v>Accepted</x:v>
      </x:c>
      <x:c r="H57" s="8" t="str">
        <x:v>ClickUp URL</x:v>
      </x:c>
    </x:row>
    <x:row r="58">
      <x:c r="A58" s="16" t="str">
        <x:v>BUS-01</x:v>
      </x:c>
      <x:c r="B58" s="16" t="str">
        <x:v>Define weather data requirements and use in analytics</x:v>
      </x:c>
      <x:c r="C58" s="16" t="str">
        <x:v>Given the PAULUS Define weather data requirements and use in analytics task is implemented, the feature should meet the approved capstone requirements and pass review against its expected behavior.</x:v>
      </x:c>
      <x:c r="D58" s="16" t="str">
        <x:v>ClickUp task evidence, implementation output, QA notes, screenshots, tests, or manuscript updates for Define weather data requirements and use in analytics.</x:v>
      </x:c>
      <x:c r="E58" s="18" t="n">
        <x:v>0.005277777777777777</x:v>
      </x:c>
      <x:c r="F58" s="16" t="str">
        <x:v>planning/backlog</x:v>
      </x:c>
      <x:c r="G58" s="17" t="b">
        <x:v>0</x:v>
      </x:c>
      <x:c r="H58" s="16" t="str">
        <x:v>https://app.clickup.com/t/86d39pntt</x:v>
      </x:c>
    </x:row>
    <x:row r="59">
      <x:c r="A59" s="16" t="str">
        <x:v>DU-01</x:v>
      </x:c>
      <x:c r="B59" s="16" t="str">
        <x:v>Review weather data sources and APIs</x:v>
      </x:c>
      <x:c r="C59" s="16" t="str">
        <x:v>Given the PAULUS Review weather data sources and APIs task is implemented, the feature should meet the approved capstone requirements and pass review against its expected behavior.</x:v>
      </x:c>
      <x:c r="D59" s="16" t="str">
        <x:v>ClickUp task evidence, implementation output, QA notes, screenshots, tests, or manuscript updates for Review weather data sources and APIs.</x:v>
      </x:c>
      <x:c r="E59" s="18" t="n">
        <x:v>0.005277777777777777</x:v>
      </x:c>
      <x:c r="F59" s="16" t="str">
        <x:v>planning/backlog</x:v>
      </x:c>
      <x:c r="G59" s="17" t="b">
        <x:v>0</x:v>
      </x:c>
      <x:c r="H59" s="16" t="str">
        <x:v>https://app.clickup.com/t/86d39pnrf</x:v>
      </x:c>
    </x:row>
    <x:row r="60">
      <x:c r="A60" s="16" t="str">
        <x:v>EXT-01</x:v>
      </x:c>
      <x:c r="B60" s="16" t="str">
        <x:v>Extract weather data from selected source APIs or datasets</x:v>
      </x:c>
      <x:c r="C60" s="16" t="str">
        <x:v>Given the PAULUS Extract weather data from selected source APIs or datasets task is implemented, the feature should meet the approved capstone requirements and pass review against its expected behavior.</x:v>
      </x:c>
      <x:c r="D60" s="16" t="str">
        <x:v>ClickUp task evidence, implementation output, QA notes, screenshots, tests, or manuscript updates for Extract weather data from selected source APIs or datasets.</x:v>
      </x:c>
      <x:c r="E60" s="18" t="n">
        <x:v>0.005277777777777777</x:v>
      </x:c>
      <x:c r="F60" s="16" t="str">
        <x:v>planning/backlog</x:v>
      </x:c>
      <x:c r="G60" s="17" t="b">
        <x:v>0</x:v>
      </x:c>
      <x:c r="H60" s="16" t="str">
        <x:v>https://app.clickup.com/t/86d3bwr15</x:v>
      </x:c>
    </x:row>
    <x:row r="61">
      <x:c r="A61" s="16" t="str">
        <x:v>DP-01</x:v>
      </x:c>
      <x:c r="B61" s="16" t="str">
        <x:v>Build weather data ingestion pipeline</x:v>
      </x:c>
      <x:c r="C61" s="16" t="str">
        <x:v>Given the PAULUS Build weather data ingestion pipeline task is implemented, the feature should meet the approved capstone requirements and pass review against its expected behavior.</x:v>
      </x:c>
      <x:c r="D61" s="16" t="str">
        <x:v>ClickUp task evidence, implementation output, QA notes, screenshots, tests, or manuscript updates for Build weather data ingestion pipeline.</x:v>
      </x:c>
      <x:c r="E61" s="18" t="n">
        <x:v>0.005277777777777777</x:v>
      </x:c>
      <x:c r="F61" s="16" t="str">
        <x:v>planning/backlog</x:v>
      </x:c>
      <x:c r="G61" s="17" t="b">
        <x:v>0</x:v>
      </x:c>
      <x:c r="H61" s="16" t="str">
        <x:v>https://app.clickup.com/t/86d39pnrg</x:v>
      </x:c>
    </x:row>
    <x:row r="62">
      <x:c r="A62" s="16" t="str">
        <x:v>MODEL-01</x:v>
      </x:c>
      <x:c r="B62" s="16" t="str">
        <x:v>Implement weather data validation and cross-check logic</x:v>
      </x:c>
      <x:c r="C62" s="16" t="str">
        <x:v>Given the PAULUS Implement weather data validation and cross-check logic task is implemented, the feature should meet the approved capstone requirements and pass review against its expected behavior.</x:v>
      </x:c>
      <x:c r="D62" s="16" t="str">
        <x:v>ClickUp task evidence, implementation output, QA notes, screenshots, tests, or manuscript updates for Implement weather data validation and cross-check logic.</x:v>
      </x:c>
      <x:c r="E62" s="18" t="n">
        <x:v>0.005277777777777777</x:v>
      </x:c>
      <x:c r="F62" s="16" t="str">
        <x:v>planning/backlog</x:v>
      </x:c>
      <x:c r="G62" s="17" t="b">
        <x:v>0</x:v>
      </x:c>
      <x:c r="H62" s="16" t="str">
        <x:v>https://app.clickup.com/t/86d39pnrh</x:v>
      </x:c>
    </x:row>
    <x:row r="63">
      <x:c r="A63" s="16" t="str">
        <x:v>DEP-01</x:v>
      </x:c>
      <x:c r="B63" s="16" t="str">
        <x:v>Load validated weather data into database</x:v>
      </x:c>
      <x:c r="C63" s="16" t="str">
        <x:v>Given the PAULUS Load validated weather data into database task is implemented, the feature should meet the approved capstone requirements and pass review against its expected behavior.</x:v>
      </x:c>
      <x:c r="D63" s="16" t="str">
        <x:v>ClickUp task evidence, implementation output, QA notes, screenshots, tests, or manuscript updates for Load validated weather data into database.</x:v>
      </x:c>
      <x:c r="E63" s="18" t="n">
        <x:v>0.005277777777777777</x:v>
      </x:c>
      <x:c r="F63" s="16" t="str">
        <x:v>planning/backlog</x:v>
      </x:c>
      <x:c r="G63" s="17" t="b">
        <x:v>0</x:v>
      </x:c>
      <x:c r="H63" s="16" t="str">
        <x:v>https://app.clickup.com/t/86d39pnta</x:v>
      </x:c>
    </x:row>
    <x:row r="64">
      <x:c r="A64" s="16" t="str">
        <x:v>EVAL-01</x:v>
      </x:c>
      <x:c r="B64" s="16" t="str">
        <x:v>Validate weather data accuracy and completeness</x:v>
      </x:c>
      <x:c r="C64" s="16" t="str">
        <x:v>Given the PAULUS Validate weather data accuracy and completeness task is implemented, the feature should meet the approved capstone requirements and pass review against its expected behavior.</x:v>
      </x:c>
      <x:c r="D64" s="16" t="str">
        <x:v>ClickUp task evidence, implementation output, QA notes, screenshots, tests, or manuscript updates for Validate weather data accuracy and completeness.</x:v>
      </x:c>
      <x:c r="E64" s="18" t="n">
        <x:v>0.005277777777777777</x:v>
      </x:c>
      <x:c r="F64" s="16" t="str">
        <x:v>planning/backlog</x:v>
      </x:c>
      <x:c r="G64" s="17" t="b">
        <x:v>0</x:v>
      </x:c>
      <x:c r="H64" s="16" t="str">
        <x:v>https://app.clickup.com/t/86d39pntv</x:v>
      </x:c>
    </x:row>
    <x:row r="65">
      <x:c r="A65" s="16" t="str">
        <x:v>UAT-01</x:v>
      </x:c>
      <x:c r="B65" s="16" t="str">
        <x:v>Validate weather data pipeline with target users</x:v>
      </x:c>
      <x:c r="C65" s="16" t="str">
        <x:v>Given the PAULUS Validate weather data pipeline with target users task is implemented, the feature should meet the approved capstone requirements and pass review against its expected behavior.</x:v>
      </x:c>
      <x:c r="D65" s="16" t="str">
        <x:v>ClickUp task evidence, implementation output, QA notes, screenshots, tests, or manuscript updates for Validate weather data pipeline with target users.</x:v>
      </x:c>
      <x:c r="E65" s="18" t="n">
        <x:v>0.005277777777777777</x:v>
      </x:c>
      <x:c r="F65" s="16" t="str">
        <x:v>planning/backlog</x:v>
      </x:c>
      <x:c r="G65" s="17" t="b">
        <x:v>0</x:v>
      </x:c>
      <x:c r="H65" s="16" t="str">
        <x:v>https://app.clickup.com/t/86d39pntd</x:v>
      </x:c>
    </x:row>
    <x:row r="66">
      <x:c r="A66" s="16" t="str">
        <x:v>MS-01</x:v>
      </x:c>
      <x:c r="B66" s="16" t="str">
        <x:v>Document weather data collection pipeline process</x:v>
      </x:c>
      <x:c r="C66" s="16" t="str">
        <x:v>Given the PAULUS Document weather data collection pipeline process task is implemented, the feature should meet the approved capstone requirements and pass review against its expected behavior.</x:v>
      </x:c>
      <x:c r="D66" s="16" t="str">
        <x:v>ClickUp task evidence, implementation output, QA notes, screenshots, tests, or manuscript updates for Document weather data collection pipeline process.</x:v>
      </x:c>
      <x:c r="E66" s="18" t="n">
        <x:v>0.005277777777777777</x:v>
      </x:c>
      <x:c r="F66" s="16" t="str">
        <x:v>planning/backlog</x:v>
      </x:c>
      <x:c r="G66" s="17" t="b">
        <x:v>0</x:v>
      </x:c>
      <x:c r="H66" s="16" t="str">
        <x:v>https://app.clickup.com/t/86d39pntw</x:v>
      </x:c>
    </x:row>
    <x:row r="67">
      <x:c r="A67" s="26" t="str">
        <x:v>Total Accomplished</x:v>
      </x:c>
      <x:c r="B67" s="26" t="str"/>
      <x:c r="C67" s="26" t="str"/>
      <x:c r="D67" s="26" t="str"/>
      <x:c r="E67" s="27" t="n">
        <x:f>SUM(E58:E66)</x:f>
        <x:v>0.047499999999999994</x:v>
      </x:c>
      <x:c r="F67" s="27" t="str"/>
      <x:c r="G67" s="27" t="n">
        <x:f>SUMIF(G58:G66, TRUE, E58:E66)</x:f>
        <x:v>0</x:v>
      </x:c>
      <x:c r="H67" s="26" t="str"/>
    </x:row>
    <x:row r="70">
      <x:c r="A70" s="34" t="str">
        <x:v>Module Accomplishment</x:v>
      </x:c>
      <x:c r="B70" s="34" t="str">
        <x:v>MOD-ANA</x:v>
      </x:c>
      <x:c r="C70" s="34" t="str">
        <x:v>Analytics, Models, and Decision Support</x:v>
      </x:c>
      <x:c r="D70" s="34" t="str"/>
      <x:c r="E70" s="35" t="n">
        <x:v>0.285</x:v>
      </x:c>
      <x:c r="F70" s="35" t="str"/>
      <x:c r="G70" s="35" t="n">
        <x:f>SUM('MOD-ANA'!G9,'MOD-ANA'!G19,'MOD-ANA'!G29,'MOD-ANA'!G39,'MOD-ANA'!G54,'MOD-ANA'!G67)</x:f>
        <x:v>0</x:v>
      </x:c>
      <x:c r="H70" s="34" t="str"/>
    </x:row>
  </x:sheetData>
  <x:dataValidations count="6">
    <x:dataValidation type="list" sqref="G3:G8">
      <x:formula1>"TRUE,FALSE"</x:formula1>
    </x:dataValidation>
    <x:dataValidation type="list" sqref="G13:G18">
      <x:formula1>"TRUE,FALSE"</x:formula1>
    </x:dataValidation>
    <x:dataValidation type="list" sqref="G23:G28">
      <x:formula1>"TRUE,FALSE"</x:formula1>
    </x:dataValidation>
    <x:dataValidation type="list" sqref="G33:G38">
      <x:formula1>"TRUE,FALSE"</x:formula1>
    </x:dataValidation>
    <x:dataValidation type="list" sqref="G43:G53">
      <x:formula1>"TRUE,FALSE"</x:formula1>
    </x:dataValidation>
    <x:dataValidation type="list" sqref="G58:G66">
      <x:formula1>"TRUE,FALSE"</x:formula1>
    </x:dataValidation>
  </x:dataValidation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32.5" hidden="0" customWidth="1"/>
    <x:col min="3" max="3" width="47.5" hidden="0" customWidth="1"/>
    <x:col min="4" max="4" width="42.5" hidden="0" customWidth="1"/>
    <x:col min="5" max="5" width="15" hidden="0" customWidth="1"/>
    <x:col min="6" max="6" width="16.8799991607666" hidden="0" customWidth="1"/>
    <x:col min="7" max="7" width="16.8799991607666" hidden="0" customWidth="1"/>
    <x:col min="8" max="8" width="28.75" hidden="0" customWidth="1"/>
  </x:cols>
  <x:sheetData>
    <x:row r="1">
      <x:c r="A1" s="4" t="str">
        <x:v>Task ID</x:v>
      </x:c>
      <x:c r="B1" s="4" t="str">
        <x:v>HOST</x:v>
      </x:c>
      <x:c r="C1" s="4" t="str">
        <x:v>Task Name</x:v>
      </x:c>
      <x:c r="D1" s="4" t="str">
        <x:v>Hosting and Deployment Setup</x:v>
      </x:c>
      <x:c r="E1" s="4" t="str"/>
      <x:c r="F1" s="4" t="str">
        <x:v>planning/backlog</x:v>
      </x:c>
      <x:c r="G1" s="4" t="str"/>
      <x:c r="H1" s="4" t="str">
        <x:v>https://app.clickup.com/t/86d38te3n</x:v>
      </x:c>
    </x:row>
    <x:row r="2">
      <x:c r="A2" s="8" t="str">
        <x:v>Subtask ID</x:v>
      </x:c>
      <x:c r="B2" s="8" t="str">
        <x:v>Subtask / Task Name</x:v>
      </x:c>
      <x:c r="C2" s="8" t="str">
        <x:v>Acceptance Criteria</x:v>
      </x:c>
      <x:c r="D2" s="8" t="str">
        <x:v>Evidence / Deliverable</x:v>
      </x:c>
      <x:c r="E2" s="8" t="str">
        <x:v>Weight Allocation</x:v>
      </x:c>
      <x:c r="F2" s="8" t="str">
        <x:v>ClickUp Status</x:v>
      </x:c>
      <x:c r="G2" s="8" t="str">
        <x:v>Accepted</x:v>
      </x:c>
      <x:c r="H2" s="8" t="str">
        <x:v>ClickUp URL</x:v>
      </x:c>
    </x:row>
    <x:row r="3">
      <x:c r="A3" s="16" t="str">
        <x:v>REQ-01</x:v>
      </x:c>
      <x:c r="B3" s="16" t="str">
        <x:v>Define hosting and deployment setup requirements</x:v>
      </x:c>
      <x:c r="C3" s="16" t="str">
        <x:v>Given the PAULUS Define hosting and deployment setup requirements task is implemented, the feature should meet the approved capstone requirements and pass review against its expected behavior.</x:v>
      </x:c>
      <x:c r="D3" s="16" t="str">
        <x:v>ClickUp task evidence, implementation output, QA notes, screenshots, tests, or manuscript updates for Define hosting and deployment setup requirements.</x:v>
      </x:c>
      <x:c r="E3" s="18" t="n">
        <x:v>0.004583333333333333</x:v>
      </x:c>
      <x:c r="F3" s="16" t="str">
        <x:v>standardized subtask - URL pending</x:v>
      </x:c>
      <x:c r="G3" s="17" t="b">
        <x:v>0</x:v>
      </x:c>
      <x:c r="H3" s="16" t="str"/>
    </x:row>
    <x:row r="4">
      <x:c r="A4" s="16" t="str">
        <x:v>DES-01</x:v>
      </x:c>
      <x:c r="B4" s="16" t="str">
        <x:v>Design hosting and deployment setup structure and workflow</x:v>
      </x:c>
      <x:c r="C4" s="16" t="str">
        <x:v>Given the PAULUS Design hosting and deployment setup structure and workflow task is implemented, the feature should meet the approved capstone requirements and pass review against its expected behavior.</x:v>
      </x:c>
      <x:c r="D4" s="16" t="str">
        <x:v>ClickUp task evidence, implementation output, QA notes, screenshots, tests, or manuscript updates for Design hosting and deployment setup structure and workflow.</x:v>
      </x:c>
      <x:c r="E4" s="18" t="n">
        <x:v>0.004583333333333333</x:v>
      </x:c>
      <x:c r="F4" s="16" t="str">
        <x:v>standardized subtask - URL pending</x:v>
      </x:c>
      <x:c r="G4" s="17" t="b">
        <x:v>0</x:v>
      </x:c>
      <x:c r="H4" s="16" t="str"/>
    </x:row>
    <x:row r="5">
      <x:c r="A5" s="16" t="str">
        <x:v>DEV-01</x:v>
      </x:c>
      <x:c r="B5" s="16" t="str">
        <x:v>Implement hosting and deployment setup baseline functionality</x:v>
      </x:c>
      <x:c r="C5" s="16" t="str">
        <x:v>Given the PAULUS Implement hosting and deployment setup baseline functionality task is implemented, the feature should meet the approved capstone requirements and pass review against its expected behavior.</x:v>
      </x:c>
      <x:c r="D5" s="16" t="str">
        <x:v>ClickUp task evidence, implementation output, QA notes, screenshots, tests, or manuscript updates for Implement hosting and deployment setup baseline functionality.</x:v>
      </x:c>
      <x:c r="E5" s="18" t="n">
        <x:v>0.004583333333333333</x:v>
      </x:c>
      <x:c r="F5" s="16" t="str">
        <x:v>standardized subtask - URL pending</x:v>
      </x:c>
      <x:c r="G5" s="17" t="b">
        <x:v>0</x:v>
      </x:c>
      <x:c r="H5" s="16" t="str"/>
    </x:row>
    <x:row r="6">
      <x:c r="A6" s="16" t="str">
        <x:v>TEST-01</x:v>
      </x:c>
      <x:c r="B6" s="16" t="str">
        <x:v>Test hosting and deployment setup behavior and outputs</x:v>
      </x:c>
      <x:c r="C6" s="16" t="str">
        <x:v>Given the PAULUS Test hosting and deployment setup behavior and outputs task is implemented, the feature should meet the approved capstone requirements and pass review against its expected behavior.</x:v>
      </x:c>
      <x:c r="D6" s="16" t="str">
        <x:v>ClickUp task evidence, implementation output, QA notes, screenshots, tests, or manuscript updates for Test hosting and deployment setup behavior and outputs.</x:v>
      </x:c>
      <x:c r="E6" s="18" t="n">
        <x:v>0.004583333333333333</x:v>
      </x:c>
      <x:c r="F6" s="16" t="str">
        <x:v>standardized subtask - URL pending</x:v>
      </x:c>
      <x:c r="G6" s="17" t="b">
        <x:v>0</x:v>
      </x:c>
      <x:c r="H6" s="16" t="str"/>
    </x:row>
    <x:row r="7">
      <x:c r="A7" s="16" t="str">
        <x:v>FIX-01</x:v>
      </x:c>
      <x:c r="B7" s="16" t="str">
        <x:v>Resolve hosting and deployment setup issues</x:v>
      </x:c>
      <x:c r="C7" s="16" t="str">
        <x:v>Given the PAULUS Resolve hosting and deployment setup issues task is implemented, the feature should meet the approved capstone requirements and pass review against its expected behavior.</x:v>
      </x:c>
      <x:c r="D7" s="16" t="str">
        <x:v>ClickUp task evidence, implementation output, QA notes, screenshots, tests, or manuscript updates for Resolve hosting and deployment setup issues.</x:v>
      </x:c>
      <x:c r="E7" s="18" t="n">
        <x:v>0.004583333333333333</x:v>
      </x:c>
      <x:c r="F7" s="16" t="str">
        <x:v>standardized subtask - URL pending</x:v>
      </x:c>
      <x:c r="G7" s="17" t="b">
        <x:v>0</x:v>
      </x:c>
      <x:c r="H7" s="16" t="str"/>
    </x:row>
    <x:row r="8">
      <x:c r="A8" s="16" t="str">
        <x:v>MS-01</x:v>
      </x:c>
      <x:c r="B8" s="16" t="str">
        <x:v>Document hosting and deployment setup in Chapter 4</x:v>
      </x:c>
      <x:c r="C8" s="16" t="str">
        <x:v>Given the PAULUS Document hosting and deployment setup in Chapter 4 task is implemented, the feature should meet the approved capstone requirements and pass review against its expected behavior.</x:v>
      </x:c>
      <x:c r="D8" s="16" t="str">
        <x:v>ClickUp task evidence, implementation output, QA notes, screenshots, tests, or manuscript updates for Document hosting and deployment setup in Chapter 4.</x:v>
      </x:c>
      <x:c r="E8" s="18" t="n">
        <x:v>0.004583333333333333</x:v>
      </x:c>
      <x:c r="F8" s="16" t="str">
        <x:v>standardized subtask - URL pending</x:v>
      </x:c>
      <x:c r="G8" s="17" t="b">
        <x:v>0</x:v>
      </x:c>
      <x:c r="H8" s="16" t="str"/>
    </x:row>
    <x:row r="9">
      <x:c r="A9" s="26" t="str">
        <x:v>Total Accomplished</x:v>
      </x:c>
      <x:c r="B9" s="26" t="str"/>
      <x:c r="C9" s="26" t="str"/>
      <x:c r="D9" s="26" t="str"/>
      <x:c r="E9" s="27" t="n">
        <x:f>SUM(E3:E8)</x:f>
        <x:v>0.027500000000000004</x:v>
      </x:c>
      <x:c r="F9" s="27" t="str"/>
      <x:c r="G9" s="27" t="n">
        <x:f>SUMIF(G3:G8, TRUE, E3:E8)</x:f>
        <x:v>0</x:v>
      </x:c>
      <x:c r="H9" s="26" t="str"/>
    </x:row>
    <x:row r="11">
      <x:c r="A11" s="4" t="str">
        <x:v>Task ID</x:v>
      </x:c>
      <x:c r="B11" s="4" t="str">
        <x:v>UAT</x:v>
      </x:c>
      <x:c r="C11" s="4" t="str">
        <x:v>Task Name</x:v>
      </x:c>
      <x:c r="D11" s="4" t="str">
        <x:v>User Acceptance Testing and Final Validation</x:v>
      </x:c>
      <x:c r="E11" s="4" t="str"/>
      <x:c r="F11" s="4" t="str">
        <x:v>planning/backlog</x:v>
      </x:c>
      <x:c r="G11" s="4" t="str"/>
      <x:c r="H11" s="4" t="str">
        <x:v>https://app.clickup.com/t/86d38th2p</x:v>
      </x:c>
    </x:row>
    <x:row r="12">
      <x:c r="A12" s="8" t="str">
        <x:v>Subtask ID</x:v>
      </x:c>
      <x:c r="B12" s="8" t="str">
        <x:v>Subtask / Task Name</x:v>
      </x:c>
      <x:c r="C12" s="8" t="str">
        <x:v>Acceptance Criteria</x:v>
      </x:c>
      <x:c r="D12" s="8" t="str">
        <x:v>Evidence / Deliverable</x:v>
      </x:c>
      <x:c r="E12" s="8" t="str">
        <x:v>Weight Allocation</x:v>
      </x:c>
      <x:c r="F12" s="8" t="str">
        <x:v>ClickUp Status</x:v>
      </x:c>
      <x:c r="G12" s="8" t="str">
        <x:v>Accepted</x:v>
      </x:c>
      <x:c r="H12" s="8" t="str">
        <x:v>ClickUp URL</x:v>
      </x:c>
    </x:row>
    <x:row r="13">
      <x:c r="A13" s="16" t="str">
        <x:v>REQ-01</x:v>
      </x:c>
      <x:c r="B13" s="16" t="str">
        <x:v>Define user acceptance testing and final validation requirements</x:v>
      </x:c>
      <x:c r="C13" s="16" t="str">
        <x:v>Given the PAULUS Define user acceptance testing and final validation requirements task is implemented, the feature should meet the approved capstone requirements and pass review against its expected behavior.</x:v>
      </x:c>
      <x:c r="D13" s="16" t="str">
        <x:v>ClickUp task evidence, implementation output, QA notes, screenshots, tests, or manuscript updates for Define user acceptance testing and final validation requirements.</x:v>
      </x:c>
      <x:c r="E13" s="18" t="n">
        <x:v>0.004583333333333333</x:v>
      </x:c>
      <x:c r="F13" s="16" t="str">
        <x:v>standardized subtask - URL pending</x:v>
      </x:c>
      <x:c r="G13" s="17" t="b">
        <x:v>0</x:v>
      </x:c>
      <x:c r="H13" s="16" t="str"/>
    </x:row>
    <x:row r="14">
      <x:c r="A14" s="16" t="str">
        <x:v>DES-01</x:v>
      </x:c>
      <x:c r="B14" s="16" t="str">
        <x:v>Design user acceptance testing and final validation structure and workflow</x:v>
      </x:c>
      <x:c r="C14" s="16" t="str">
        <x:v>Given the PAULUS Design user acceptance testing and final validation structure and workflow task is implemented, the feature should meet the approved capstone requirements and pass review against its expected behavior.</x:v>
      </x:c>
      <x:c r="D14" s="16" t="str">
        <x:v>ClickUp task evidence, implementation output, QA notes, screenshots, tests, or manuscript updates for Design user acceptance testing and final validation structure and workflow.</x:v>
      </x:c>
      <x:c r="E14" s="18" t="n">
        <x:v>0.004583333333333333</x:v>
      </x:c>
      <x:c r="F14" s="16" t="str">
        <x:v>standardized subtask - URL pending</x:v>
      </x:c>
      <x:c r="G14" s="17" t="b">
        <x:v>0</x:v>
      </x:c>
      <x:c r="H14" s="16" t="str"/>
    </x:row>
    <x:row r="15">
      <x:c r="A15" s="16" t="str">
        <x:v>DEV-01</x:v>
      </x:c>
      <x:c r="B15" s="16" t="str">
        <x:v>Implement user acceptance testing and final validation baseline functionality</x:v>
      </x:c>
      <x:c r="C15" s="16" t="str">
        <x:v>Given the PAULUS Implement user acceptance testing and final validation baseline functionality task is implemented, the feature should meet the approved capstone requirements and pass review against its expected behavior.</x:v>
      </x:c>
      <x:c r="D15" s="16" t="str">
        <x:v>ClickUp task evidence, implementation output, QA notes, screenshots, tests, or manuscript updates for Implement user acceptance testing and final validation baseline functionality.</x:v>
      </x:c>
      <x:c r="E15" s="18" t="n">
        <x:v>0.004583333333333333</x:v>
      </x:c>
      <x:c r="F15" s="16" t="str">
        <x:v>standardized subtask - URL pending</x:v>
      </x:c>
      <x:c r="G15" s="17" t="b">
        <x:v>0</x:v>
      </x:c>
      <x:c r="H15" s="16" t="str"/>
    </x:row>
    <x:row r="16">
      <x:c r="A16" s="16" t="str">
        <x:v>TEST-01</x:v>
      </x:c>
      <x:c r="B16" s="16" t="str">
        <x:v>Test user acceptance testing and final validation behavior and outputs</x:v>
      </x:c>
      <x:c r="C16" s="16" t="str">
        <x:v>Given the PAULUS Test user acceptance testing and final validation behavior and outputs task is implemented, the feature should meet the approved capstone requirements and pass review against its expected behavior.</x:v>
      </x:c>
      <x:c r="D16" s="16" t="str">
        <x:v>ClickUp task evidence, implementation output, QA notes, screenshots, tests, or manuscript updates for Test user acceptance testing and final validation behavior and outputs.</x:v>
      </x:c>
      <x:c r="E16" s="18" t="n">
        <x:v>0.004583333333333333</x:v>
      </x:c>
      <x:c r="F16" s="16" t="str">
        <x:v>standardized subtask - URL pending</x:v>
      </x:c>
      <x:c r="G16" s="17" t="b">
        <x:v>0</x:v>
      </x:c>
      <x:c r="H16" s="16" t="str"/>
    </x:row>
    <x:row r="17">
      <x:c r="A17" s="16" t="str">
        <x:v>FIX-01</x:v>
      </x:c>
      <x:c r="B17" s="16" t="str">
        <x:v>Resolve user acceptance testing and final validation issues</x:v>
      </x:c>
      <x:c r="C17" s="16" t="str">
        <x:v>Given the PAULUS Resolve user acceptance testing and final validation issues task is implemented, the feature should meet the approved capstone requirements and pass review against its expected behavior.</x:v>
      </x:c>
      <x:c r="D17" s="16" t="str">
        <x:v>ClickUp task evidence, implementation output, QA notes, screenshots, tests, or manuscript updates for Resolve user acceptance testing and final validation issues.</x:v>
      </x:c>
      <x:c r="E17" s="18" t="n">
        <x:v>0.004583333333333333</x:v>
      </x:c>
      <x:c r="F17" s="16" t="str">
        <x:v>standardized subtask - URL pending</x:v>
      </x:c>
      <x:c r="G17" s="17" t="b">
        <x:v>0</x:v>
      </x:c>
      <x:c r="H17" s="16" t="str"/>
    </x:row>
    <x:row r="18">
      <x:c r="A18" s="16" t="str">
        <x:v>MS-01</x:v>
      </x:c>
      <x:c r="B18" s="16" t="str">
        <x:v>Document user acceptance testing and final validation in Chapter 4</x:v>
      </x:c>
      <x:c r="C18" s="16" t="str">
        <x:v>Given the PAULUS Document user acceptance testing and final validation in Chapter 4 task is implemented, the feature should meet the approved capstone requirements and pass review against its expected behavior.</x:v>
      </x:c>
      <x:c r="D18" s="16" t="str">
        <x:v>ClickUp task evidence, implementation output, QA notes, screenshots, tests, or manuscript updates for Document user acceptance testing and final validation in Chapter 4.</x:v>
      </x:c>
      <x:c r="E18" s="18" t="n">
        <x:v>0.004583333333333333</x:v>
      </x:c>
      <x:c r="F18" s="16" t="str">
        <x:v>standardized subtask - URL pending</x:v>
      </x:c>
      <x:c r="G18" s="17" t="b">
        <x:v>0</x:v>
      </x:c>
      <x:c r="H18" s="16" t="str"/>
    </x:row>
    <x:row r="19">
      <x:c r="A19" s="26" t="str">
        <x:v>Total Accomplished</x:v>
      </x:c>
      <x:c r="B19" s="26" t="str"/>
      <x:c r="C19" s="26" t="str"/>
      <x:c r="D19" s="26" t="str"/>
      <x:c r="E19" s="27" t="n">
        <x:f>SUM(E13:E18)</x:f>
        <x:v>0.027500000000000004</x:v>
      </x:c>
      <x:c r="F19" s="27" t="str"/>
      <x:c r="G19" s="27" t="n">
        <x:f>SUMIF(G13:G18, TRUE, E13:E18)</x:f>
        <x:v>0</x:v>
      </x:c>
      <x:c r="H19" s="26" t="str"/>
    </x:row>
    <x:row r="22">
      <x:c r="A22" s="34" t="str">
        <x:v>Module Accomplishment</x:v>
      </x:c>
      <x:c r="B22" s="34" t="str">
        <x:v>CORE</x:v>
      </x:c>
      <x:c r="C22" s="34" t="str">
        <x:v>Hosting, Repository, and Project Management</x:v>
      </x:c>
      <x:c r="D22" s="34" t="str"/>
      <x:c r="E22" s="35" t="n">
        <x:v>0.055</x:v>
      </x:c>
      <x:c r="F22" s="35" t="str"/>
      <x:c r="G22" s="35" t="n">
        <x:f>SUM('CORE'!G9,'CORE'!G19)</x:f>
        <x:v>0</x:v>
      </x:c>
      <x:c r="H22" s="34" t="str"/>
    </x:row>
  </x:sheetData>
  <x:dataValidations count="2">
    <x:dataValidation type="list" sqref="G3:G8">
      <x:formula1>"TRUE,FALSE"</x:formula1>
    </x:dataValidation>
    <x:dataValidation type="list" sqref="G13:G18">
      <x:formula1>"TRUE,FALSE"</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32.5" hidden="0" customWidth="1"/>
    <x:col min="3" max="3" width="47.5" hidden="0" customWidth="1"/>
    <x:col min="4" max="4" width="42.5" hidden="0" customWidth="1"/>
    <x:col min="5" max="5" width="15" hidden="0" customWidth="1"/>
    <x:col min="6" max="6" width="16.8799991607666" hidden="0" customWidth="1"/>
    <x:col min="7" max="7" width="16.8799991607666" hidden="0" customWidth="1"/>
    <x:col min="8" max="8" width="28.75" hidden="0" customWidth="1"/>
  </x:cols>
  <x:sheetData>
    <x:row r="1">
      <x:c r="A1" s="4" t="str">
        <x:v>Task ID</x:v>
      </x:c>
      <x:c r="B1" s="4" t="str">
        <x:v>MS-01</x:v>
      </x:c>
      <x:c r="C1" s="4" t="str">
        <x:v>Task Name</x:v>
      </x:c>
      <x:c r="D1" s="4" t="str">
        <x:v>Revise Chapter 3 methodology to Agile Kanban</x:v>
      </x:c>
      <x:c r="E1" s="4" t="str"/>
      <x:c r="F1" s="4" t="str">
        <x:v>in progress</x:v>
      </x:c>
      <x:c r="G1" s="4" t="str"/>
      <x:c r="H1" s="4" t="str">
        <x:v>https://app.clickup.com/t/86d391p3k</x:v>
      </x:c>
    </x:row>
    <x:row r="2">
      <x:c r="A2" s="8" t="str">
        <x:v>Subtask ID</x:v>
      </x:c>
      <x:c r="B2" s="8" t="str">
        <x:v>Subtask / Task Name</x:v>
      </x:c>
      <x:c r="C2" s="8" t="str">
        <x:v>Acceptance Criteria</x:v>
      </x:c>
      <x:c r="D2" s="8" t="str">
        <x:v>Evidence / Deliverable</x:v>
      </x:c>
      <x:c r="E2" s="8" t="str">
        <x:v>Weight Allocation</x:v>
      </x:c>
      <x:c r="F2" s="8" t="str">
        <x:v>ClickUp Status</x:v>
      </x:c>
      <x:c r="G2" s="8" t="str">
        <x:v>Accepted</x:v>
      </x:c>
      <x:c r="H2" s="8" t="str">
        <x:v>ClickUp URL</x:v>
      </x:c>
    </x:row>
    <x:row r="3">
      <x:c r="A3" s="16" t="str">
        <x:v>REQ-01</x:v>
      </x:c>
      <x:c r="B3" s="16" t="str">
        <x:v>Define Chapter 1 manuscript content requirements</x:v>
      </x:c>
      <x:c r="C3" s="16" t="str">
        <x:v>Given the PAULUS Define Chapter 1 manuscript content requirements task is implemented, the feature should meet the approved capstone requirements and pass review against its expected behavior.</x:v>
      </x:c>
      <x:c r="D3" s="16" t="str">
        <x:v>ClickUp task evidence, implementation output, QA notes, screenshots, tests, or manuscript updates for Define Chapter 1 manuscript content requirements.</x:v>
      </x:c>
      <x:c r="E3" s="18" t="n">
        <x:v>0.002777777777777778</x:v>
      </x:c>
      <x:c r="F3" s="16" t="str">
        <x:v>standardized subtask - URL pending</x:v>
      </x:c>
      <x:c r="G3" s="17" t="b">
        <x:v>0</x:v>
      </x:c>
      <x:c r="H3" s="16" t="str"/>
    </x:row>
    <x:row r="4">
      <x:c r="A4" s="16" t="str">
        <x:v>DES-01</x:v>
      </x:c>
      <x:c r="B4" s="16" t="str">
        <x:v>Design Chapter 1 manuscript content structure and workflow</x:v>
      </x:c>
      <x:c r="C4" s="16" t="str">
        <x:v>Given the PAULUS Design Chapter 1 manuscript content structure and workflow task is implemented, the feature should meet the approved capstone requirements and pass review against its expected behavior.</x:v>
      </x:c>
      <x:c r="D4" s="16" t="str">
        <x:v>ClickUp task evidence, implementation output, QA notes, screenshots, tests, or manuscript updates for Design Chapter 1 manuscript content structure and workflow.</x:v>
      </x:c>
      <x:c r="E4" s="18" t="n">
        <x:v>0.002777777777777778</x:v>
      </x:c>
      <x:c r="F4" s="16" t="str">
        <x:v>standardized subtask - URL pending</x:v>
      </x:c>
      <x:c r="G4" s="17" t="b">
        <x:v>0</x:v>
      </x:c>
      <x:c r="H4" s="16" t="str"/>
    </x:row>
    <x:row r="5">
      <x:c r="A5" s="16" t="str">
        <x:v>DEV-01</x:v>
      </x:c>
      <x:c r="B5" s="16" t="str">
        <x:v>Implement Chapter 1 manuscript content baseline functionality</x:v>
      </x:c>
      <x:c r="C5" s="16" t="str">
        <x:v>Given the PAULUS Implement Chapter 1 manuscript content baseline functionality task is implemented, the feature should meet the approved capstone requirements and pass review against its expected behavior.</x:v>
      </x:c>
      <x:c r="D5" s="16" t="str">
        <x:v>ClickUp task evidence, implementation output, QA notes, screenshots, tests, or manuscript updates for Implement Chapter 1 manuscript content baseline functionality.</x:v>
      </x:c>
      <x:c r="E5" s="18" t="n">
        <x:v>0.002777777777777778</x:v>
      </x:c>
      <x:c r="F5" s="16" t="str">
        <x:v>standardized subtask - URL pending</x:v>
      </x:c>
      <x:c r="G5" s="17" t="b">
        <x:v>0</x:v>
      </x:c>
      <x:c r="H5" s="16" t="str"/>
    </x:row>
    <x:row r="6">
      <x:c r="A6" s="16" t="str">
        <x:v>TEST-01</x:v>
      </x:c>
      <x:c r="B6" s="16" t="str">
        <x:v>Test Chapter 1 manuscript content behavior and outputs</x:v>
      </x:c>
      <x:c r="C6" s="16" t="str">
        <x:v>Given the PAULUS Test Chapter 1 manuscript content behavior and outputs task is implemented, the feature should meet the approved capstone requirements and pass review against its expected behavior.</x:v>
      </x:c>
      <x:c r="D6" s="16" t="str">
        <x:v>ClickUp task evidence, implementation output, QA notes, screenshots, tests, or manuscript updates for Test Chapter 1 manuscript content behavior and outputs.</x:v>
      </x:c>
      <x:c r="E6" s="18" t="n">
        <x:v>0.002777777777777778</x:v>
      </x:c>
      <x:c r="F6" s="16" t="str">
        <x:v>standardized subtask - URL pending</x:v>
      </x:c>
      <x:c r="G6" s="17" t="b">
        <x:v>0</x:v>
      </x:c>
      <x:c r="H6" s="16" t="str"/>
    </x:row>
    <x:row r="7">
      <x:c r="A7" s="16" t="str">
        <x:v>FIX-01</x:v>
      </x:c>
      <x:c r="B7" s="16" t="str">
        <x:v>Resolve Chapter 1 manuscript content issues</x:v>
      </x:c>
      <x:c r="C7" s="16" t="str">
        <x:v>Given the PAULUS Resolve Chapter 1 manuscript content issues task is implemented, the feature should meet the approved capstone requirements and pass review against its expected behavior.</x:v>
      </x:c>
      <x:c r="D7" s="16" t="str">
        <x:v>ClickUp task evidence, implementation output, QA notes, screenshots, tests, or manuscript updates for Resolve Chapter 1 manuscript content issues.</x:v>
      </x:c>
      <x:c r="E7" s="18" t="n">
        <x:v>0.002777777777777778</x:v>
      </x:c>
      <x:c r="F7" s="16" t="str">
        <x:v>standardized subtask - URL pending</x:v>
      </x:c>
      <x:c r="G7" s="17" t="b">
        <x:v>0</x:v>
      </x:c>
      <x:c r="H7" s="16" t="str"/>
    </x:row>
    <x:row r="8">
      <x:c r="A8" s="16" t="str">
        <x:v>MS-01</x:v>
      </x:c>
      <x:c r="B8" s="16" t="str">
        <x:v>Document Chapter 1 manuscript content in Chapter 1</x:v>
      </x:c>
      <x:c r="C8" s="16" t="str">
        <x:v>Given the PAULUS Document Chapter 1 manuscript content in Chapter 1 task is implemented, the feature should meet the approved capstone requirements and pass review against its expected behavior.</x:v>
      </x:c>
      <x:c r="D8" s="16" t="str">
        <x:v>ClickUp task evidence, implementation output, QA notes, screenshots, tests, or manuscript updates for Document Chapter 1 manuscript content in Chapter 1.</x:v>
      </x:c>
      <x:c r="E8" s="18" t="n">
        <x:v>0.002777777777777778</x:v>
      </x:c>
      <x:c r="F8" s="16" t="str">
        <x:v>standardized subtask - URL pending</x:v>
      </x:c>
      <x:c r="G8" s="17" t="b">
        <x:v>0</x:v>
      </x:c>
      <x:c r="H8" s="16" t="str"/>
    </x:row>
    <x:row r="9">
      <x:c r="A9" s="26" t="str">
        <x:v>Total Accomplished</x:v>
      </x:c>
      <x:c r="B9" s="26" t="str"/>
      <x:c r="C9" s="26" t="str"/>
      <x:c r="D9" s="26" t="str"/>
      <x:c r="E9" s="27" t="n">
        <x:f>SUM(E3:E8)</x:f>
        <x:v>0.016666666666666666</x:v>
      </x:c>
      <x:c r="F9" s="27" t="str"/>
      <x:c r="G9" s="27" t="n">
        <x:f>SUMIF(G3:G8, TRUE, E3:E8)</x:f>
        <x:v>0</x:v>
      </x:c>
      <x:c r="H9" s="26" t="str"/>
    </x:row>
    <x:row r="11">
      <x:c r="A11" s="4" t="str">
        <x:v>Task ID</x:v>
      </x:c>
      <x:c r="B11" s="4" t="str">
        <x:v>MS-02</x:v>
      </x:c>
      <x:c r="C11" s="4" t="str">
        <x:v>Task Name</x:v>
      </x:c>
      <x:c r="D11" s="4" t="str">
        <x:v>Add Kanban literature in Chapter 2</x:v>
      </x:c>
      <x:c r="E11" s="4" t="str"/>
      <x:c r="F11" s="4" t="str">
        <x:v>for qa / internal testing</x:v>
      </x:c>
      <x:c r="G11" s="4" t="str"/>
      <x:c r="H11" s="4" t="str">
        <x:v>https://app.clickup.com/t/86d391r9d</x:v>
      </x:c>
    </x:row>
    <x:row r="12">
      <x:c r="A12" s="8" t="str">
        <x:v>Subtask ID</x:v>
      </x:c>
      <x:c r="B12" s="8" t="str">
        <x:v>Subtask / Task Name</x:v>
      </x:c>
      <x:c r="C12" s="8" t="str">
        <x:v>Acceptance Criteria</x:v>
      </x:c>
      <x:c r="D12" s="8" t="str">
        <x:v>Evidence / Deliverable</x:v>
      </x:c>
      <x:c r="E12" s="8" t="str">
        <x:v>Weight Allocation</x:v>
      </x:c>
      <x:c r="F12" s="8" t="str">
        <x:v>ClickUp Status</x:v>
      </x:c>
      <x:c r="G12" s="8" t="str">
        <x:v>Accepted</x:v>
      </x:c>
      <x:c r="H12" s="8" t="str">
        <x:v>ClickUp URL</x:v>
      </x:c>
    </x:row>
    <x:row r="13">
      <x:c r="A13" s="16" t="str">
        <x:v>REQ-01</x:v>
      </x:c>
      <x:c r="B13" s="16" t="str">
        <x:v>Define Chapter 2 manuscript content requirements</x:v>
      </x:c>
      <x:c r="C13" s="16" t="str">
        <x:v>Given the PAULUS Define Chapter 2 manuscript content requirements task is implemented, the feature should meet the approved capstone requirements and pass review against its expected behavior.</x:v>
      </x:c>
      <x:c r="D13" s="16" t="str">
        <x:v>ClickUp task evidence, implementation output, QA notes, screenshots, tests, or manuscript updates for Define Chapter 2 manuscript content requirements.</x:v>
      </x:c>
      <x:c r="E13" s="18" t="n">
        <x:v>0.002777777777777778</x:v>
      </x:c>
      <x:c r="F13" s="16" t="str">
        <x:v>standardized subtask - URL pending</x:v>
      </x:c>
      <x:c r="G13" s="17" t="b">
        <x:v>0</x:v>
      </x:c>
      <x:c r="H13" s="16" t="str"/>
    </x:row>
    <x:row r="14">
      <x:c r="A14" s="16" t="str">
        <x:v>DES-01</x:v>
      </x:c>
      <x:c r="B14" s="16" t="str">
        <x:v>Design Chapter 2 manuscript content structure and workflow</x:v>
      </x:c>
      <x:c r="C14" s="16" t="str">
        <x:v>Given the PAULUS Design Chapter 2 manuscript content structure and workflow task is implemented, the feature should meet the approved capstone requirements and pass review against its expected behavior.</x:v>
      </x:c>
      <x:c r="D14" s="16" t="str">
        <x:v>ClickUp task evidence, implementation output, QA notes, screenshots, tests, or manuscript updates for Design Chapter 2 manuscript content structure and workflow.</x:v>
      </x:c>
      <x:c r="E14" s="18" t="n">
        <x:v>0.002777777777777778</x:v>
      </x:c>
      <x:c r="F14" s="16" t="str">
        <x:v>standardized subtask - URL pending</x:v>
      </x:c>
      <x:c r="G14" s="17" t="b">
        <x:v>0</x:v>
      </x:c>
      <x:c r="H14" s="16" t="str"/>
    </x:row>
    <x:row r="15">
      <x:c r="A15" s="16" t="str">
        <x:v>DEV-01</x:v>
      </x:c>
      <x:c r="B15" s="16" t="str">
        <x:v>Implement Chapter 2 manuscript content baseline functionality</x:v>
      </x:c>
      <x:c r="C15" s="16" t="str">
        <x:v>Given the PAULUS Implement Chapter 2 manuscript content baseline functionality task is implemented, the feature should meet the approved capstone requirements and pass review against its expected behavior.</x:v>
      </x:c>
      <x:c r="D15" s="16" t="str">
        <x:v>ClickUp task evidence, implementation output, QA notes, screenshots, tests, or manuscript updates for Implement Chapter 2 manuscript content baseline functionality.</x:v>
      </x:c>
      <x:c r="E15" s="18" t="n">
        <x:v>0.002777777777777778</x:v>
      </x:c>
      <x:c r="F15" s="16" t="str">
        <x:v>standardized subtask - URL pending</x:v>
      </x:c>
      <x:c r="G15" s="17" t="b">
        <x:v>0</x:v>
      </x:c>
      <x:c r="H15" s="16" t="str"/>
    </x:row>
    <x:row r="16">
      <x:c r="A16" s="16" t="str">
        <x:v>TEST-01</x:v>
      </x:c>
      <x:c r="B16" s="16" t="str">
        <x:v>Test Chapter 2 manuscript content behavior and outputs</x:v>
      </x:c>
      <x:c r="C16" s="16" t="str">
        <x:v>Given the PAULUS Test Chapter 2 manuscript content behavior and outputs task is implemented, the feature should meet the approved capstone requirements and pass review against its expected behavior.</x:v>
      </x:c>
      <x:c r="D16" s="16" t="str">
        <x:v>ClickUp task evidence, implementation output, QA notes, screenshots, tests, or manuscript updates for Test Chapter 2 manuscript content behavior and outputs.</x:v>
      </x:c>
      <x:c r="E16" s="18" t="n">
        <x:v>0.002777777777777778</x:v>
      </x:c>
      <x:c r="F16" s="16" t="str">
        <x:v>standardized subtask - URL pending</x:v>
      </x:c>
      <x:c r="G16" s="17" t="b">
        <x:v>0</x:v>
      </x:c>
      <x:c r="H16" s="16" t="str"/>
    </x:row>
    <x:row r="17">
      <x:c r="A17" s="16" t="str">
        <x:v>FIX-01</x:v>
      </x:c>
      <x:c r="B17" s="16" t="str">
        <x:v>Resolve Chapter 2 manuscript content issues</x:v>
      </x:c>
      <x:c r="C17" s="16" t="str">
        <x:v>Given the PAULUS Resolve Chapter 2 manuscript content issues task is implemented, the feature should meet the approved capstone requirements and pass review against its expected behavior.</x:v>
      </x:c>
      <x:c r="D17" s="16" t="str">
        <x:v>ClickUp task evidence, implementation output, QA notes, screenshots, tests, or manuscript updates for Resolve Chapter 2 manuscript content issues.</x:v>
      </x:c>
      <x:c r="E17" s="18" t="n">
        <x:v>0.002777777777777778</x:v>
      </x:c>
      <x:c r="F17" s="16" t="str">
        <x:v>standardized subtask - URL pending</x:v>
      </x:c>
      <x:c r="G17" s="17" t="b">
        <x:v>0</x:v>
      </x:c>
      <x:c r="H17" s="16" t="str"/>
    </x:row>
    <x:row r="18">
      <x:c r="A18" s="16" t="str">
        <x:v>MS-01</x:v>
      </x:c>
      <x:c r="B18" s="16" t="str">
        <x:v>Document Chapter 2 manuscript content in Chapter 2</x:v>
      </x:c>
      <x:c r="C18" s="16" t="str">
        <x:v>Given the PAULUS Document Chapter 2 manuscript content in Chapter 2 task is implemented, the feature should meet the approved capstone requirements and pass review against its expected behavior.</x:v>
      </x:c>
      <x:c r="D18" s="16" t="str">
        <x:v>ClickUp task evidence, implementation output, QA notes, screenshots, tests, or manuscript updates for Document Chapter 2 manuscript content in Chapter 2.</x:v>
      </x:c>
      <x:c r="E18" s="18" t="n">
        <x:v>0.002777777777777778</x:v>
      </x:c>
      <x:c r="F18" s="16" t="str">
        <x:v>standardized subtask - URL pending</x:v>
      </x:c>
      <x:c r="G18" s="17" t="b">
        <x:v>0</x:v>
      </x:c>
      <x:c r="H18" s="16" t="str"/>
    </x:row>
    <x:row r="19">
      <x:c r="A19" s="26" t="str">
        <x:v>Total Accomplished</x:v>
      </x:c>
      <x:c r="B19" s="26" t="str"/>
      <x:c r="C19" s="26" t="str"/>
      <x:c r="D19" s="26" t="str"/>
      <x:c r="E19" s="27" t="n">
        <x:f>SUM(E13:E18)</x:f>
        <x:v>0.016666666666666666</x:v>
      </x:c>
      <x:c r="F19" s="27" t="str"/>
      <x:c r="G19" s="27" t="n">
        <x:f>SUMIF(G13:G18, TRUE, E13:E18)</x:f>
        <x:v>0</x:v>
      </x:c>
      <x:c r="H19" s="26" t="str"/>
    </x:row>
    <x:row r="21">
      <x:c r="A21" s="4" t="str">
        <x:v>Task ID</x:v>
      </x:c>
      <x:c r="B21" s="4" t="str">
        <x:v>MS-03</x:v>
      </x:c>
      <x:c r="C21" s="4" t="str">
        <x:v>Task Name</x:v>
      </x:c>
      <x:c r="D21" s="4" t="str">
        <x:v>Add ClickUp tool discussion in Chapter 2</x:v>
      </x:c>
      <x:c r="E21" s="4" t="str"/>
      <x:c r="F21" s="4" t="str">
        <x:v>for qa / internal testing</x:v>
      </x:c>
      <x:c r="G21" s="4" t="str"/>
      <x:c r="H21" s="4" t="str">
        <x:v>https://app.clickup.com/t/86d391rag</x:v>
      </x:c>
    </x:row>
    <x:row r="22">
      <x:c r="A22" s="8" t="str">
        <x:v>Subtask ID</x:v>
      </x:c>
      <x:c r="B22" s="8" t="str">
        <x:v>Subtask / Task Name</x:v>
      </x:c>
      <x:c r="C22" s="8" t="str">
        <x:v>Acceptance Criteria</x:v>
      </x:c>
      <x:c r="D22" s="8" t="str">
        <x:v>Evidence / Deliverable</x:v>
      </x:c>
      <x:c r="E22" s="8" t="str">
        <x:v>Weight Allocation</x:v>
      </x:c>
      <x:c r="F22" s="8" t="str">
        <x:v>ClickUp Status</x:v>
      </x:c>
      <x:c r="G22" s="8" t="str">
        <x:v>Accepted</x:v>
      </x:c>
      <x:c r="H22" s="8" t="str">
        <x:v>ClickUp URL</x:v>
      </x:c>
    </x:row>
    <x:row r="23">
      <x:c r="A23" s="16" t="str">
        <x:v>REQ-01</x:v>
      </x:c>
      <x:c r="B23" s="16" t="str">
        <x:v>Define Chapter 3 manuscript content requirements</x:v>
      </x:c>
      <x:c r="C23" s="16" t="str">
        <x:v>Given the PAULUS Define Chapter 3 manuscript content requirements task is implemented, the feature should meet the approved capstone requirements and pass review against its expected behavior.</x:v>
      </x:c>
      <x:c r="D23" s="16" t="str">
        <x:v>ClickUp task evidence, implementation output, QA notes, screenshots, tests, or manuscript updates for Define Chapter 3 manuscript content requirements.</x:v>
      </x:c>
      <x:c r="E23" s="18" t="n">
        <x:v>0.002777777777777778</x:v>
      </x:c>
      <x:c r="F23" s="16" t="str">
        <x:v>standardized subtask - URL pending</x:v>
      </x:c>
      <x:c r="G23" s="17" t="b">
        <x:v>0</x:v>
      </x:c>
      <x:c r="H23" s="16" t="str"/>
    </x:row>
    <x:row r="24">
      <x:c r="A24" s="16" t="str">
        <x:v>DES-01</x:v>
      </x:c>
      <x:c r="B24" s="16" t="str">
        <x:v>Design Chapter 3 manuscript content structure and workflow</x:v>
      </x:c>
      <x:c r="C24" s="16" t="str">
        <x:v>Given the PAULUS Design Chapter 3 manuscript content structure and workflow task is implemented, the feature should meet the approved capstone requirements and pass review against its expected behavior.</x:v>
      </x:c>
      <x:c r="D24" s="16" t="str">
        <x:v>ClickUp task evidence, implementation output, QA notes, screenshots, tests, or manuscript updates for Design Chapter 3 manuscript content structure and workflow.</x:v>
      </x:c>
      <x:c r="E24" s="18" t="n">
        <x:v>0.002777777777777778</x:v>
      </x:c>
      <x:c r="F24" s="16" t="str">
        <x:v>standardized subtask - URL pending</x:v>
      </x:c>
      <x:c r="G24" s="17" t="b">
        <x:v>0</x:v>
      </x:c>
      <x:c r="H24" s="16" t="str"/>
    </x:row>
    <x:row r="25">
      <x:c r="A25" s="16" t="str">
        <x:v>DEV-01</x:v>
      </x:c>
      <x:c r="B25" s="16" t="str">
        <x:v>Implement Chapter 3 manuscript content baseline functionality</x:v>
      </x:c>
      <x:c r="C25" s="16" t="str">
        <x:v>Given the PAULUS Implement Chapter 3 manuscript content baseline functionality task is implemented, the feature should meet the approved capstone requirements and pass review against its expected behavior.</x:v>
      </x:c>
      <x:c r="D25" s="16" t="str">
        <x:v>ClickUp task evidence, implementation output, QA notes, screenshots, tests, or manuscript updates for Implement Chapter 3 manuscript content baseline functionality.</x:v>
      </x:c>
      <x:c r="E25" s="18" t="n">
        <x:v>0.002777777777777778</x:v>
      </x:c>
      <x:c r="F25" s="16" t="str">
        <x:v>standardized subtask - URL pending</x:v>
      </x:c>
      <x:c r="G25" s="17" t="b">
        <x:v>0</x:v>
      </x:c>
      <x:c r="H25" s="16" t="str"/>
    </x:row>
    <x:row r="26">
      <x:c r="A26" s="16" t="str">
        <x:v>TEST-01</x:v>
      </x:c>
      <x:c r="B26" s="16" t="str">
        <x:v>Test Chapter 3 manuscript content behavior and outputs</x:v>
      </x:c>
      <x:c r="C26" s="16" t="str">
        <x:v>Given the PAULUS Test Chapter 3 manuscript content behavior and outputs task is implemented, the feature should meet the approved capstone requirements and pass review against its expected behavior.</x:v>
      </x:c>
      <x:c r="D26" s="16" t="str">
        <x:v>ClickUp task evidence, implementation output, QA notes, screenshots, tests, or manuscript updates for Test Chapter 3 manuscript content behavior and outputs.</x:v>
      </x:c>
      <x:c r="E26" s="18" t="n">
        <x:v>0.002777777777777778</x:v>
      </x:c>
      <x:c r="F26" s="16" t="str">
        <x:v>standardized subtask - URL pending</x:v>
      </x:c>
      <x:c r="G26" s="17" t="b">
        <x:v>0</x:v>
      </x:c>
      <x:c r="H26" s="16" t="str"/>
    </x:row>
    <x:row r="27">
      <x:c r="A27" s="16" t="str">
        <x:v>FIX-01</x:v>
      </x:c>
      <x:c r="B27" s="16" t="str">
        <x:v>Resolve Chapter 3 manuscript content issues</x:v>
      </x:c>
      <x:c r="C27" s="16" t="str">
        <x:v>Given the PAULUS Resolve Chapter 3 manuscript content issues task is implemented, the feature should meet the approved capstone requirements and pass review against its expected behavior.</x:v>
      </x:c>
      <x:c r="D27" s="16" t="str">
        <x:v>ClickUp task evidence, implementation output, QA notes, screenshots, tests, or manuscript updates for Resolve Chapter 3 manuscript content issues.</x:v>
      </x:c>
      <x:c r="E27" s="18" t="n">
        <x:v>0.002777777777777778</x:v>
      </x:c>
      <x:c r="F27" s="16" t="str">
        <x:v>standardized subtask - URL pending</x:v>
      </x:c>
      <x:c r="G27" s="17" t="b">
        <x:v>0</x:v>
      </x:c>
      <x:c r="H27" s="16" t="str"/>
    </x:row>
    <x:row r="28">
      <x:c r="A28" s="16" t="str">
        <x:v>MS-01</x:v>
      </x:c>
      <x:c r="B28" s="16" t="str">
        <x:v>Document Chapter 3 manuscript content in Chapter 3</x:v>
      </x:c>
      <x:c r="C28" s="16" t="str">
        <x:v>Given the PAULUS Document Chapter 3 manuscript content in Chapter 3 task is implemented, the feature should meet the approved capstone requirements and pass review against its expected behavior.</x:v>
      </x:c>
      <x:c r="D28" s="16" t="str">
        <x:v>ClickUp task evidence, implementation output, QA notes, screenshots, tests, or manuscript updates for Document Chapter 3 manuscript content in Chapter 3.</x:v>
      </x:c>
      <x:c r="E28" s="18" t="n">
        <x:v>0.002777777777777778</x:v>
      </x:c>
      <x:c r="F28" s="16" t="str">
        <x:v>standardized subtask - URL pending</x:v>
      </x:c>
      <x:c r="G28" s="17" t="b">
        <x:v>0</x:v>
      </x:c>
      <x:c r="H28" s="16" t="str"/>
    </x:row>
    <x:row r="29">
      <x:c r="A29" s="26" t="str">
        <x:v>Total Accomplished</x:v>
      </x:c>
      <x:c r="B29" s="26" t="str"/>
      <x:c r="C29" s="26" t="str"/>
      <x:c r="D29" s="26" t="str"/>
      <x:c r="E29" s="27" t="n">
        <x:f>SUM(E23:E28)</x:f>
        <x:v>0.016666666666666666</x:v>
      </x:c>
      <x:c r="F29" s="27" t="str"/>
      <x:c r="G29" s="27" t="n">
        <x:f>SUMIF(G23:G28, TRUE, E23:E28)</x:f>
        <x:v>0</x:v>
      </x:c>
      <x:c r="H29" s="26" t="str"/>
    </x:row>
    <x:row r="31">
      <x:c r="A31" s="4" t="str">
        <x:v>Task ID</x:v>
      </x:c>
      <x:c r="B31" s="4" t="str">
        <x:v>MS-04</x:v>
      </x:c>
      <x:c r="C31" s="4" t="str">
        <x:v>Task Name</x:v>
      </x:c>
      <x:c r="D31" s="4" t="str">
        <x:v>Draft Chapter 4 results and testing discussion</x:v>
      </x:c>
      <x:c r="E31" s="4" t="str"/>
      <x:c r="F31" s="4" t="str">
        <x:v>planning/backlog</x:v>
      </x:c>
      <x:c r="G31" s="4" t="str"/>
      <x:c r="H31" s="4" t="str">
        <x:v>https://app.clickup.com/t/86d3921qu</x:v>
      </x:c>
    </x:row>
    <x:row r="32">
      <x:c r="A32" s="8" t="str">
        <x:v>Subtask ID</x:v>
      </x:c>
      <x:c r="B32" s="8" t="str">
        <x:v>Subtask / Task Name</x:v>
      </x:c>
      <x:c r="C32" s="8" t="str">
        <x:v>Acceptance Criteria</x:v>
      </x:c>
      <x:c r="D32" s="8" t="str">
        <x:v>Evidence / Deliverable</x:v>
      </x:c>
      <x:c r="E32" s="8" t="str">
        <x:v>Weight Allocation</x:v>
      </x:c>
      <x:c r="F32" s="8" t="str">
        <x:v>ClickUp Status</x:v>
      </x:c>
      <x:c r="G32" s="8" t="str">
        <x:v>Accepted</x:v>
      </x:c>
      <x:c r="H32" s="8" t="str">
        <x:v>ClickUp URL</x:v>
      </x:c>
    </x:row>
    <x:row r="33">
      <x:c r="A33" s="16" t="str">
        <x:v>REQ-01</x:v>
      </x:c>
      <x:c r="B33" s="16" t="str">
        <x:v>Define Chapter 4 manuscript content requirements</x:v>
      </x:c>
      <x:c r="C33" s="16" t="str">
        <x:v>Given the PAULUS Define Chapter 4 manuscript content requirements task is implemented, the feature should meet the approved capstone requirements and pass review against its expected behavior.</x:v>
      </x:c>
      <x:c r="D33" s="16" t="str">
        <x:v>ClickUp task evidence, implementation output, QA notes, screenshots, tests, or manuscript updates for Define Chapter 4 manuscript content requirements.</x:v>
      </x:c>
      <x:c r="E33" s="18" t="n">
        <x:v>0.002777777777777778</x:v>
      </x:c>
      <x:c r="F33" s="16" t="str">
        <x:v>standardized subtask - URL pending</x:v>
      </x:c>
      <x:c r="G33" s="17" t="b">
        <x:v>0</x:v>
      </x:c>
      <x:c r="H33" s="16" t="str"/>
    </x:row>
    <x:row r="34">
      <x:c r="A34" s="16" t="str">
        <x:v>DES-01</x:v>
      </x:c>
      <x:c r="B34" s="16" t="str">
        <x:v>Design Chapter 4 manuscript content structure and workflow</x:v>
      </x:c>
      <x:c r="C34" s="16" t="str">
        <x:v>Given the PAULUS Design Chapter 4 manuscript content structure and workflow task is implemented, the feature should meet the approved capstone requirements and pass review against its expected behavior.</x:v>
      </x:c>
      <x:c r="D34" s="16" t="str">
        <x:v>ClickUp task evidence, implementation output, QA notes, screenshots, tests, or manuscript updates for Design Chapter 4 manuscript content structure and workflow.</x:v>
      </x:c>
      <x:c r="E34" s="18" t="n">
        <x:v>0.002777777777777778</x:v>
      </x:c>
      <x:c r="F34" s="16" t="str">
        <x:v>standardized subtask - URL pending</x:v>
      </x:c>
      <x:c r="G34" s="17" t="b">
        <x:v>0</x:v>
      </x:c>
      <x:c r="H34" s="16" t="str"/>
    </x:row>
    <x:row r="35">
      <x:c r="A35" s="16" t="str">
        <x:v>DEV-01</x:v>
      </x:c>
      <x:c r="B35" s="16" t="str">
        <x:v>Implement Chapter 4 manuscript content baseline functionality</x:v>
      </x:c>
      <x:c r="C35" s="16" t="str">
        <x:v>Given the PAULUS Implement Chapter 4 manuscript content baseline functionality task is implemented, the feature should meet the approved capstone requirements and pass review against its expected behavior.</x:v>
      </x:c>
      <x:c r="D35" s="16" t="str">
        <x:v>ClickUp task evidence, implementation output, QA notes, screenshots, tests, or manuscript updates for Implement Chapter 4 manuscript content baseline functionality.</x:v>
      </x:c>
      <x:c r="E35" s="18" t="n">
        <x:v>0.002777777777777778</x:v>
      </x:c>
      <x:c r="F35" s="16" t="str">
        <x:v>standardized subtask - URL pending</x:v>
      </x:c>
      <x:c r="G35" s="17" t="b">
        <x:v>0</x:v>
      </x:c>
      <x:c r="H35" s="16" t="str"/>
    </x:row>
    <x:row r="36">
      <x:c r="A36" s="16" t="str">
        <x:v>TEST-01</x:v>
      </x:c>
      <x:c r="B36" s="16" t="str">
        <x:v>Test Chapter 4 manuscript content behavior and outputs</x:v>
      </x:c>
      <x:c r="C36" s="16" t="str">
        <x:v>Given the PAULUS Test Chapter 4 manuscript content behavior and outputs task is implemented, the feature should meet the approved capstone requirements and pass review against its expected behavior.</x:v>
      </x:c>
      <x:c r="D36" s="16" t="str">
        <x:v>ClickUp task evidence, implementation output, QA notes, screenshots, tests, or manuscript updates for Test Chapter 4 manuscript content behavior and outputs.</x:v>
      </x:c>
      <x:c r="E36" s="18" t="n">
        <x:v>0.002777777777777778</x:v>
      </x:c>
      <x:c r="F36" s="16" t="str">
        <x:v>standardized subtask - URL pending</x:v>
      </x:c>
      <x:c r="G36" s="17" t="b">
        <x:v>0</x:v>
      </x:c>
      <x:c r="H36" s="16" t="str"/>
    </x:row>
    <x:row r="37">
      <x:c r="A37" s="16" t="str">
        <x:v>FIX-01</x:v>
      </x:c>
      <x:c r="B37" s="16" t="str">
        <x:v>Resolve Chapter 4 manuscript content issues</x:v>
      </x:c>
      <x:c r="C37" s="16" t="str">
        <x:v>Given the PAULUS Resolve Chapter 4 manuscript content issues task is implemented, the feature should meet the approved capstone requirements and pass review against its expected behavior.</x:v>
      </x:c>
      <x:c r="D37" s="16" t="str">
        <x:v>ClickUp task evidence, implementation output, QA notes, screenshots, tests, or manuscript updates for Resolve Chapter 4 manuscript content issues.</x:v>
      </x:c>
      <x:c r="E37" s="18" t="n">
        <x:v>0.002777777777777778</x:v>
      </x:c>
      <x:c r="F37" s="16" t="str">
        <x:v>standardized subtask - URL pending</x:v>
      </x:c>
      <x:c r="G37" s="17" t="b">
        <x:v>0</x:v>
      </x:c>
      <x:c r="H37" s="16" t="str"/>
    </x:row>
    <x:row r="38">
      <x:c r="A38" s="16" t="str">
        <x:v>MS-01</x:v>
      </x:c>
      <x:c r="B38" s="16" t="str">
        <x:v>Document Chapter 4 manuscript content in Chapter 4</x:v>
      </x:c>
      <x:c r="C38" s="16" t="str">
        <x:v>Given the PAULUS Document Chapter 4 manuscript content in Chapter 4 task is implemented, the feature should meet the approved capstone requirements and pass review against its expected behavior.</x:v>
      </x:c>
      <x:c r="D38" s="16" t="str">
        <x:v>ClickUp task evidence, implementation output, QA notes, screenshots, tests, or manuscript updates for Document Chapter 4 manuscript content in Chapter 4.</x:v>
      </x:c>
      <x:c r="E38" s="18" t="n">
        <x:v>0.002777777777777778</x:v>
      </x:c>
      <x:c r="F38" s="16" t="str">
        <x:v>standardized subtask - URL pending</x:v>
      </x:c>
      <x:c r="G38" s="17" t="b">
        <x:v>0</x:v>
      </x:c>
      <x:c r="H38" s="16" t="str"/>
    </x:row>
    <x:row r="39">
      <x:c r="A39" s="26" t="str">
        <x:v>Total Accomplished</x:v>
      </x:c>
      <x:c r="B39" s="26" t="str"/>
      <x:c r="C39" s="26" t="str"/>
      <x:c r="D39" s="26" t="str"/>
      <x:c r="E39" s="27" t="n">
        <x:f>SUM(E33:E38)</x:f>
        <x:v>0.016666666666666666</x:v>
      </x:c>
      <x:c r="F39" s="27" t="str"/>
      <x:c r="G39" s="27" t="n">
        <x:f>SUMIF(G33:G38, TRUE, E33:E38)</x:f>
        <x:v>0</x:v>
      </x:c>
      <x:c r="H39" s="26" t="str"/>
    </x:row>
    <x:row r="41">
      <x:c r="A41" s="4" t="str">
        <x:v>Task ID</x:v>
      </x:c>
      <x:c r="B41" s="4" t="str">
        <x:v>MS-05</x:v>
      </x:c>
      <x:c r="C41" s="4" t="str">
        <x:v>Task Name</x:v>
      </x:c>
      <x:c r="D41" s="4" t="str">
        <x:v>Draft Chapter 5 conclusions and recommendations</x:v>
      </x:c>
      <x:c r="E41" s="4" t="str"/>
      <x:c r="F41" s="4" t="str">
        <x:v>planning/backlog</x:v>
      </x:c>
      <x:c r="G41" s="4" t="str"/>
      <x:c r="H41" s="4" t="str">
        <x:v>https://app.clickup.com/t/86d3921r5</x:v>
      </x:c>
    </x:row>
    <x:row r="42">
      <x:c r="A42" s="8" t="str">
        <x:v>Subtask ID</x:v>
      </x:c>
      <x:c r="B42" s="8" t="str">
        <x:v>Subtask / Task Name</x:v>
      </x:c>
      <x:c r="C42" s="8" t="str">
        <x:v>Acceptance Criteria</x:v>
      </x:c>
      <x:c r="D42" s="8" t="str">
        <x:v>Evidence / Deliverable</x:v>
      </x:c>
      <x:c r="E42" s="8" t="str">
        <x:v>Weight Allocation</x:v>
      </x:c>
      <x:c r="F42" s="8" t="str">
        <x:v>ClickUp Status</x:v>
      </x:c>
      <x:c r="G42" s="8" t="str">
        <x:v>Accepted</x:v>
      </x:c>
      <x:c r="H42" s="8" t="str">
        <x:v>ClickUp URL</x:v>
      </x:c>
    </x:row>
    <x:row r="43">
      <x:c r="A43" s="16" t="str">
        <x:v>REQ-01</x:v>
      </x:c>
      <x:c r="B43" s="16" t="str">
        <x:v>Define Chapter 5 manuscript content requirements</x:v>
      </x:c>
      <x:c r="C43" s="16" t="str">
        <x:v>Given the PAULUS Define Chapter 5 manuscript content requirements task is implemented, the feature should meet the approved capstone requirements and pass review against its expected behavior.</x:v>
      </x:c>
      <x:c r="D43" s="16" t="str">
        <x:v>ClickUp task evidence, implementation output, QA notes, screenshots, tests, or manuscript updates for Define Chapter 5 manuscript content requirements.</x:v>
      </x:c>
      <x:c r="E43" s="18" t="n">
        <x:v>0.002777777777777778</x:v>
      </x:c>
      <x:c r="F43" s="16" t="str">
        <x:v>standardized subtask - URL pending</x:v>
      </x:c>
      <x:c r="G43" s="17" t="b">
        <x:v>0</x:v>
      </x:c>
      <x:c r="H43" s="16" t="str"/>
    </x:row>
    <x:row r="44">
      <x:c r="A44" s="16" t="str">
        <x:v>DES-01</x:v>
      </x:c>
      <x:c r="B44" s="16" t="str">
        <x:v>Design Chapter 5 manuscript content structure and workflow</x:v>
      </x:c>
      <x:c r="C44" s="16" t="str">
        <x:v>Given the PAULUS Design Chapter 5 manuscript content structure and workflow task is implemented, the feature should meet the approved capstone requirements and pass review against its expected behavior.</x:v>
      </x:c>
      <x:c r="D44" s="16" t="str">
        <x:v>ClickUp task evidence, implementation output, QA notes, screenshots, tests, or manuscript updates for Design Chapter 5 manuscript content structure and workflow.</x:v>
      </x:c>
      <x:c r="E44" s="18" t="n">
        <x:v>0.002777777777777778</x:v>
      </x:c>
      <x:c r="F44" s="16" t="str">
        <x:v>standardized subtask - URL pending</x:v>
      </x:c>
      <x:c r="G44" s="17" t="b">
        <x:v>0</x:v>
      </x:c>
      <x:c r="H44" s="16" t="str"/>
    </x:row>
    <x:row r="45">
      <x:c r="A45" s="16" t="str">
        <x:v>DEV-01</x:v>
      </x:c>
      <x:c r="B45" s="16" t="str">
        <x:v>Implement Chapter 5 manuscript content baseline functionality</x:v>
      </x:c>
      <x:c r="C45" s="16" t="str">
        <x:v>Given the PAULUS Implement Chapter 5 manuscript content baseline functionality task is implemented, the feature should meet the approved capstone requirements and pass review against its expected behavior.</x:v>
      </x:c>
      <x:c r="D45" s="16" t="str">
        <x:v>ClickUp task evidence, implementation output, QA notes, screenshots, tests, or manuscript updates for Implement Chapter 5 manuscript content baseline functionality.</x:v>
      </x:c>
      <x:c r="E45" s="18" t="n">
        <x:v>0.002777777777777778</x:v>
      </x:c>
      <x:c r="F45" s="16" t="str">
        <x:v>standardized subtask - URL pending</x:v>
      </x:c>
      <x:c r="G45" s="17" t="b">
        <x:v>0</x:v>
      </x:c>
      <x:c r="H45" s="16" t="str"/>
    </x:row>
    <x:row r="46">
      <x:c r="A46" s="16" t="str">
        <x:v>TEST-01</x:v>
      </x:c>
      <x:c r="B46" s="16" t="str">
        <x:v>Test Chapter 5 manuscript content behavior and outputs</x:v>
      </x:c>
      <x:c r="C46" s="16" t="str">
        <x:v>Given the PAULUS Test Chapter 5 manuscript content behavior and outputs task is implemented, the feature should meet the approved capstone requirements and pass review against its expected behavior.</x:v>
      </x:c>
      <x:c r="D46" s="16" t="str">
        <x:v>ClickUp task evidence, implementation output, QA notes, screenshots, tests, or manuscript updates for Test Chapter 5 manuscript content behavior and outputs.</x:v>
      </x:c>
      <x:c r="E46" s="18" t="n">
        <x:v>0.002777777777777778</x:v>
      </x:c>
      <x:c r="F46" s="16" t="str">
        <x:v>standardized subtask - URL pending</x:v>
      </x:c>
      <x:c r="G46" s="17" t="b">
        <x:v>0</x:v>
      </x:c>
      <x:c r="H46" s="16" t="str"/>
    </x:row>
    <x:row r="47">
      <x:c r="A47" s="16" t="str">
        <x:v>FIX-01</x:v>
      </x:c>
      <x:c r="B47" s="16" t="str">
        <x:v>Resolve Chapter 5 manuscript content issues</x:v>
      </x:c>
      <x:c r="C47" s="16" t="str">
        <x:v>Given the PAULUS Resolve Chapter 5 manuscript content issues task is implemented, the feature should meet the approved capstone requirements and pass review against its expected behavior.</x:v>
      </x:c>
      <x:c r="D47" s="16" t="str">
        <x:v>ClickUp task evidence, implementation output, QA notes, screenshots, tests, or manuscript updates for Resolve Chapter 5 manuscript content issues.</x:v>
      </x:c>
      <x:c r="E47" s="18" t="n">
        <x:v>0.002777777777777778</x:v>
      </x:c>
      <x:c r="F47" s="16" t="str">
        <x:v>standardized subtask - URL pending</x:v>
      </x:c>
      <x:c r="G47" s="17" t="b">
        <x:v>0</x:v>
      </x:c>
      <x:c r="H47" s="16" t="str"/>
    </x:row>
    <x:row r="48">
      <x:c r="A48" s="16" t="str">
        <x:v>MS-01</x:v>
      </x:c>
      <x:c r="B48" s="16" t="str">
        <x:v>Document Chapter 5 manuscript content in Chapter 5</x:v>
      </x:c>
      <x:c r="C48" s="16" t="str">
        <x:v>Given the PAULUS Document Chapter 5 manuscript content in Chapter 5 task is implemented, the feature should meet the approved capstone requirements and pass review against its expected behavior.</x:v>
      </x:c>
      <x:c r="D48" s="16" t="str">
        <x:v>ClickUp task evidence, implementation output, QA notes, screenshots, tests, or manuscript updates for Document Chapter 5 manuscript content in Chapter 5.</x:v>
      </x:c>
      <x:c r="E48" s="18" t="n">
        <x:v>0.002777777777777778</x:v>
      </x:c>
      <x:c r="F48" s="16" t="str">
        <x:v>standardized subtask - URL pending</x:v>
      </x:c>
      <x:c r="G48" s="17" t="b">
        <x:v>0</x:v>
      </x:c>
      <x:c r="H48" s="16" t="str"/>
    </x:row>
    <x:row r="49">
      <x:c r="A49" s="26" t="str">
        <x:v>Total Accomplished</x:v>
      </x:c>
      <x:c r="B49" s="26" t="str"/>
      <x:c r="C49" s="26" t="str"/>
      <x:c r="D49" s="26" t="str"/>
      <x:c r="E49" s="27" t="n">
        <x:f>SUM(E43:E48)</x:f>
        <x:v>0.016666666666666666</x:v>
      </x:c>
      <x:c r="F49" s="27" t="str"/>
      <x:c r="G49" s="27" t="n">
        <x:f>SUMIF(G43:G48, TRUE, E43:E48)</x:f>
        <x:v>0</x:v>
      </x:c>
      <x:c r="H49" s="26" t="str"/>
    </x:row>
    <x:row r="51">
      <x:c r="A51" s="4" t="str">
        <x:v>Task ID</x:v>
      </x:c>
      <x:c r="B51" s="4" t="str">
        <x:v>MS-06</x:v>
      </x:c>
      <x:c r="C51" s="4" t="str">
        <x:v>Task Name</x:v>
      </x:c>
      <x:c r="D51" s="4" t="str">
        <x:v>Compile appendix materials and supporting evidence</x:v>
      </x:c>
      <x:c r="E51" s="4" t="str"/>
      <x:c r="F51" s="4" t="str">
        <x:v>planning/backlog</x:v>
      </x:c>
      <x:c r="G51" s="4" t="str"/>
      <x:c r="H51" s="4" t="str">
        <x:v>https://app.clickup.com/t/86d3921ru</x:v>
      </x:c>
    </x:row>
    <x:row r="52">
      <x:c r="A52" s="8" t="str">
        <x:v>Subtask ID</x:v>
      </x:c>
      <x:c r="B52" s="8" t="str">
        <x:v>Subtask / Task Name</x:v>
      </x:c>
      <x:c r="C52" s="8" t="str">
        <x:v>Acceptance Criteria</x:v>
      </x:c>
      <x:c r="D52" s="8" t="str">
        <x:v>Evidence / Deliverable</x:v>
      </x:c>
      <x:c r="E52" s="8" t="str">
        <x:v>Weight Allocation</x:v>
      </x:c>
      <x:c r="F52" s="8" t="str">
        <x:v>ClickUp Status</x:v>
      </x:c>
      <x:c r="G52" s="8" t="str">
        <x:v>Accepted</x:v>
      </x:c>
      <x:c r="H52" s="8" t="str">
        <x:v>ClickUp URL</x:v>
      </x:c>
    </x:row>
    <x:row r="53">
      <x:c r="A53" s="16" t="str">
        <x:v>REQ-01</x:v>
      </x:c>
      <x:c r="B53" s="16" t="str">
        <x:v>Define appendix materials and supporting evidence requirements</x:v>
      </x:c>
      <x:c r="C53" s="16" t="str">
        <x:v>Given the PAULUS Define appendix materials and supporting evidence requirements task is implemented, the feature should meet the approved capstone requirements and pass review against its expected behavior.</x:v>
      </x:c>
      <x:c r="D53" s="16" t="str">
        <x:v>ClickUp task evidence, implementation output, QA notes, screenshots, tests, or manuscript updates for Define appendix materials and supporting evidence requirements.</x:v>
      </x:c>
      <x:c r="E53" s="18" t="n">
        <x:v>0.002777777777777778</x:v>
      </x:c>
      <x:c r="F53" s="16" t="str">
        <x:v>standardized subtask - URL pending</x:v>
      </x:c>
      <x:c r="G53" s="17" t="b">
        <x:v>0</x:v>
      </x:c>
      <x:c r="H53" s="16" t="str"/>
    </x:row>
    <x:row r="54">
      <x:c r="A54" s="16" t="str">
        <x:v>DES-01</x:v>
      </x:c>
      <x:c r="B54" s="16" t="str">
        <x:v>Design appendix materials and supporting evidence structure and workflow</x:v>
      </x:c>
      <x:c r="C54" s="16" t="str">
        <x:v>Given the PAULUS Design appendix materials and supporting evidence structure and workflow task is implemented, the feature should meet the approved capstone requirements and pass review against its expected behavior.</x:v>
      </x:c>
      <x:c r="D54" s="16" t="str">
        <x:v>ClickUp task evidence, implementation output, QA notes, screenshots, tests, or manuscript updates for Design appendix materials and supporting evidence structure and workflow.</x:v>
      </x:c>
      <x:c r="E54" s="18" t="n">
        <x:v>0.002777777777777778</x:v>
      </x:c>
      <x:c r="F54" s="16" t="str">
        <x:v>standardized subtask - URL pending</x:v>
      </x:c>
      <x:c r="G54" s="17" t="b">
        <x:v>0</x:v>
      </x:c>
      <x:c r="H54" s="16" t="str"/>
    </x:row>
    <x:row r="55">
      <x:c r="A55" s="16" t="str">
        <x:v>DEV-01</x:v>
      </x:c>
      <x:c r="B55" s="16" t="str">
        <x:v>Implement appendix materials and supporting evidence baseline functionality</x:v>
      </x:c>
      <x:c r="C55" s="16" t="str">
        <x:v>Given the PAULUS Implement appendix materials and supporting evidence baseline functionality task is implemented, the feature should meet the approved capstone requirements and pass review against its expected behavior.</x:v>
      </x:c>
      <x:c r="D55" s="16" t="str">
        <x:v>ClickUp task evidence, implementation output, QA notes, screenshots, tests, or manuscript updates for Implement appendix materials and supporting evidence baseline functionality.</x:v>
      </x:c>
      <x:c r="E55" s="18" t="n">
        <x:v>0.002777777777777778</x:v>
      </x:c>
      <x:c r="F55" s="16" t="str">
        <x:v>standardized subtask - URL pending</x:v>
      </x:c>
      <x:c r="G55" s="17" t="b">
        <x:v>0</x:v>
      </x:c>
      <x:c r="H55" s="16" t="str"/>
    </x:row>
    <x:row r="56">
      <x:c r="A56" s="16" t="str">
        <x:v>TEST-01</x:v>
      </x:c>
      <x:c r="B56" s="16" t="str">
        <x:v>Test appendix materials and supporting evidence behavior and outputs</x:v>
      </x:c>
      <x:c r="C56" s="16" t="str">
        <x:v>Given the PAULUS Test appendix materials and supporting evidence behavior and outputs task is implemented, the feature should meet the approved capstone requirements and pass review against its expected behavior.</x:v>
      </x:c>
      <x:c r="D56" s="16" t="str">
        <x:v>ClickUp task evidence, implementation output, QA notes, screenshots, tests, or manuscript updates for Test appendix materials and supporting evidence behavior and outputs.</x:v>
      </x:c>
      <x:c r="E56" s="18" t="n">
        <x:v>0.002777777777777778</x:v>
      </x:c>
      <x:c r="F56" s="16" t="str">
        <x:v>standardized subtask - URL pending</x:v>
      </x:c>
      <x:c r="G56" s="17" t="b">
        <x:v>0</x:v>
      </x:c>
      <x:c r="H56" s="16" t="str"/>
    </x:row>
    <x:row r="57">
      <x:c r="A57" s="16" t="str">
        <x:v>FIX-01</x:v>
      </x:c>
      <x:c r="B57" s="16" t="str">
        <x:v>Resolve appendix materials and supporting evidence issues</x:v>
      </x:c>
      <x:c r="C57" s="16" t="str">
        <x:v>Given the PAULUS Resolve appendix materials and supporting evidence issues task is implemented, the feature should meet the approved capstone requirements and pass review against its expected behavior.</x:v>
      </x:c>
      <x:c r="D57" s="16" t="str">
        <x:v>ClickUp task evidence, implementation output, QA notes, screenshots, tests, or manuscript updates for Resolve appendix materials and supporting evidence issues.</x:v>
      </x:c>
      <x:c r="E57" s="18" t="n">
        <x:v>0.002777777777777778</x:v>
      </x:c>
      <x:c r="F57" s="16" t="str">
        <x:v>standardized subtask - URL pending</x:v>
      </x:c>
      <x:c r="G57" s="17" t="b">
        <x:v>0</x:v>
      </x:c>
      <x:c r="H57" s="16" t="str"/>
    </x:row>
    <x:row r="58">
      <x:c r="A58" s="16" t="str">
        <x:v>MS-01</x:v>
      </x:c>
      <x:c r="B58" s="16" t="str">
        <x:v>Document appendix materials and supporting evidence in appendices</x:v>
      </x:c>
      <x:c r="C58" s="16" t="str">
        <x:v>Given the PAULUS Document appendix materials and supporting evidence in appendices task is implemented, the feature should meet the approved capstone requirements and pass review against its expected behavior.</x:v>
      </x:c>
      <x:c r="D58" s="16" t="str">
        <x:v>ClickUp task evidence, implementation output, QA notes, screenshots, tests, or manuscript updates for Document appendix materials and supporting evidence in appendices.</x:v>
      </x:c>
      <x:c r="E58" s="18" t="n">
        <x:v>0.002777777777777778</x:v>
      </x:c>
      <x:c r="F58" s="16" t="str">
        <x:v>standardized subtask - URL pending</x:v>
      </x:c>
      <x:c r="G58" s="17" t="b">
        <x:v>0</x:v>
      </x:c>
      <x:c r="H58" s="16" t="str"/>
    </x:row>
    <x:row r="59">
      <x:c r="A59" s="26" t="str">
        <x:v>Total Accomplished</x:v>
      </x:c>
      <x:c r="B59" s="26" t="str"/>
      <x:c r="C59" s="26" t="str"/>
      <x:c r="D59" s="26" t="str"/>
      <x:c r="E59" s="27" t="n">
        <x:f>SUM(E53:E58)</x:f>
        <x:v>0.016666666666666666</x:v>
      </x:c>
      <x:c r="F59" s="27" t="str"/>
      <x:c r="G59" s="27" t="n">
        <x:f>SUMIF(G53:G58, TRUE, E53:E58)</x:f>
        <x:v>0</x:v>
      </x:c>
      <x:c r="H59" s="26" t="str"/>
    </x:row>
    <x:row r="62">
      <x:c r="A62" s="34" t="str">
        <x:v>Module Accomplishment</x:v>
      </x:c>
      <x:c r="B62" s="34" t="str">
        <x:v>MANUSCRIPT</x:v>
      </x:c>
      <x:c r="C62" s="34" t="str">
        <x:v>Manuscript and Documentation</x:v>
      </x:c>
      <x:c r="D62" s="34" t="str"/>
      <x:c r="E62" s="35" t="n">
        <x:v>0.1</x:v>
      </x:c>
      <x:c r="F62" s="35" t="str"/>
      <x:c r="G62" s="35" t="n">
        <x:f>SUM('MANUSCRIPT'!G9,'MANUSCRIPT'!G19,'MANUSCRIPT'!G29,'MANUSCRIPT'!G39,'MANUSCRIPT'!G49,'MANUSCRIPT'!G59)</x:f>
        <x:v>0</x:v>
      </x:c>
      <x:c r="H62" s="34" t="str"/>
    </x:row>
  </x:sheetData>
  <x:dataValidations count="6">
    <x:dataValidation type="list" sqref="G3:G8">
      <x:formula1>"TRUE,FALSE"</x:formula1>
    </x:dataValidation>
    <x:dataValidation type="list" sqref="G13:G18">
      <x:formula1>"TRUE,FALSE"</x:formula1>
    </x:dataValidation>
    <x:dataValidation type="list" sqref="G23:G28">
      <x:formula1>"TRUE,FALSE"</x:formula1>
    </x:dataValidation>
    <x:dataValidation type="list" sqref="G33:G38">
      <x:formula1>"TRUE,FALSE"</x:formula1>
    </x:dataValidation>
    <x:dataValidation type="list" sqref="G43:G48">
      <x:formula1>"TRUE,FALSE"</x:formula1>
    </x:dataValidation>
    <x:dataValidation type="list" sqref="G53:G58">
      <x:formula1>"TRUE,FALSE"</x:formula1>
    </x:dataValidation>
  </x:dataValidation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2" max="2" width="18.75" hidden="0" customWidth="1"/>
    <x:col min="3" max="3" width="26.25" hidden="0" customWidth="1"/>
    <x:col min="4" max="4" width="26.25" hidden="0" customWidth="1"/>
    <x:col min="5" max="5" width="26.25" hidden="0" customWidth="1"/>
    <x:col min="6" max="6" width="26.25" hidden="0" customWidth="1"/>
  </x:cols>
  <x:sheetData>
    <x:row r="2">
      <x:c r="B2" s="4" t="str">
        <x:v>PAULUS Acceptance Criteria Tracker</x:v>
      </x:c>
      <x:c r="C2" s="4" t="str"/>
      <x:c r="D2" s="4" t="str"/>
      <x:c r="E2" s="4" t="str"/>
      <x:c r="F2" s="4" t="str"/>
    </x:row>
    <x:row r="4">
      <x:c r="B4" s="16" t="str">
        <x:v>Source</x:v>
      </x:c>
      <x:c r="C4" s="16" t="str">
        <x:v>Built from ClickUp tasks under the PAULUS space fetched on 2026-06-15.</x:v>
      </x:c>
      <x:c r="D4" s="16" t="str"/>
      <x:c r="E4" s="16" t="str"/>
      <x:c r="F4" s="16" t="str"/>
    </x:row>
    <x:row r="5">
      <x:c r="B5" s="16" t="str">
        <x:v>Structure</x:v>
      </x:c>
      <x:c r="C5" s="16" t="str">
        <x:v>Workbook keeps the ClickUp module/task grouping and includes task URLs for traceability.</x:v>
      </x:c>
      <x:c r="D5" s="16" t="str"/>
      <x:c r="E5" s="16" t="str"/>
      <x:c r="F5" s="16" t="str"/>
    </x:row>
    <x:row r="6">
      <x:c r="B6" s="16" t="str">
        <x:v>Accepted</x:v>
      </x:c>
      <x:c r="C6" s="16" t="str">
        <x:v>Use the Accepted column to mark formal acceptance. ClickUp Status is preserved separately.</x:v>
      </x:c>
      <x:c r="D6" s="16" t="str"/>
      <x:c r="E6" s="16" t="str"/>
      <x:c r="F6" s="16" t="str"/>
    </x:row>
    <x:row r="7">
      <x:c r="B7" s="16" t="str">
        <x:v>Formula</x:v>
      </x:c>
      <x:c r="C7" s="16" t="str">
        <x:v>Actual accomplishment uses SUMIF over accepted TRUE values and task weight allocations.</x:v>
      </x:c>
      <x:c r="D7" s="16" t="str"/>
      <x:c r="E7" s="16" t="str"/>
      <x:c r="F7" s="16" t="str"/>
    </x:row>
    <x:row r="8">
      <x:c r="B8" s="16" t="str">
        <x:v>Google Sheets</x:v>
      </x:c>
      <x:c r="C8" s="16" t="str">
        <x:v>Formulas use SUM and SUMIF so they should import cleanly into Google Sheets.</x:v>
      </x:c>
      <x:c r="D8" s="16" t="str"/>
      <x:c r="E8" s="16" t="str"/>
      <x:c r="F8" s="16" t="str"/>
    </x:row>
  </x:sheetData>
  <x:mergeCells>
    <x:mergeCell ref="B2:F2"/>
  </x:mergeCells>
  <x:pageMargins left="0.7" right="0.7" top="0.75" bottom="0.75" header="0.3" footer="0.3"/>
</x:worksheet>
</file>