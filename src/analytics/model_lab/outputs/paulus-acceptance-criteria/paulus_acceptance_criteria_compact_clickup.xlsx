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070e4745724485" /></Relationships>
</file>

<file path=xl/workbook.xml><?xml version="1.0" encoding="utf-8"?>
<x:workbook xmlns:x="http://schemas.openxmlformats.org/spreadsheetml/2006/main">
  <x:sheets>
    <x:sheet xmlns:r="http://schemas.openxmlformats.org/officeDocument/2006/relationships" name="DISTRIBUTION" sheetId="1" r:id="Rfbfba28dd59343ed"/>
    <x:sheet xmlns:r="http://schemas.openxmlformats.org/officeDocument/2006/relationships" name="MOD-FE" sheetId="2" r:id="Re06ea2f783a24575"/>
    <x:sheet xmlns:r="http://schemas.openxmlformats.org/officeDocument/2006/relationships" name="MOD-BE" sheetId="3" r:id="Ra70414ca4b2e41e0"/>
    <x:sheet xmlns:r="http://schemas.openxmlformats.org/officeDocument/2006/relationships" name="MOD-DB" sheetId="4" r:id="R96eee1bd6a8241aa"/>
    <x:sheet xmlns:r="http://schemas.openxmlformats.org/officeDocument/2006/relationships" name="MOD-ANA" sheetId="5" r:id="R94086b4f07cb4160"/>
    <x:sheet xmlns:r="http://schemas.openxmlformats.org/officeDocument/2006/relationships" name="CORE" sheetId="6" r:id="R7afefe7cae994ed3"/>
    <x:sheet xmlns:r="http://schemas.openxmlformats.org/officeDocument/2006/relationships" name="MANUSCRIPT" sheetId="7" r:id="Rc9cf03b7343a49f8"/>
    <x:sheet xmlns:r="http://schemas.openxmlformats.org/officeDocument/2006/relationships" name="README" sheetId="8" r:id="R4c369f02a599415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1"/>
      <x:color rgb="FFFFFFFF"/>
      <x:name val="Carlito"/>
    </x:font>
    <x:font>
      <x:b/>
      <x:sz val="11"/>
      <x:color rgb="FF1F2933"/>
      <x:name val="Carlito"/>
    </x:font>
    <x:font>
      <x:sz val="11"/>
      <x:color rgb="FF1F2933"/>
      <x:name val="Carlito"/>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FFF"/>
      </x:patternFill>
    </x:fill>
    <x:fill>
      <x:patternFill patternType="solid">
        <x:fgColor rgb="FFE2F0D9"/>
      </x:patternFill>
    </x:fill>
    <x:fill>
      <x:patternFill patternType="solid">
        <x:fgColor rgb="FFFFF2CC"/>
      </x:patternFill>
    </x:fill>
  </x:fills>
  <x:borders count="2">
    <x:border/>
    <x:border>
      <x:left style="thin">
        <x:color rgb="FFB7C9D6"/>
      </x:left>
      <x:right style="thin">
        <x:color rgb="FFB7C9D6"/>
      </x:right>
      <x:top style="thin">
        <x:color rgb="FFB7C9D6"/>
      </x:top>
      <x:bottom style="thin">
        <x:color rgb="FFB7C9D6"/>
      </x:bottom>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0" fillId="4" borderId="0" xfId="0" applyNumberFormat="1" applyFont="1" applyFill="1" applyBorder="1">
      <x:extLst>
        <x:ext uri="{C7286773-470A-42A8-94C5-96B5CB345126}">
          <xfpb:xfComplement xmlns:xfpb="http://schemas.microsoft.com/office/spreadsheetml/2022/featurepropertybag" i="0"/>
        </x:ext>
      </x:extLst>
    </x:xf>
    <x:xf numFmtId="0" fontId="3" fillId="4" borderId="0" xfId="0" applyNumberFormat="1" applyFont="1" applyFill="1" applyBorder="1"/>
    <x:xf numFmtId="0" fontId="3" fillId="4" borderId="0" xfId="0" applyNumberFormat="1" applyFont="1" applyFill="1" applyBorder="1">
      <x:extLst>
        <x:ext uri="{C7286773-470A-42A8-94C5-96B5CB345126}">
          <xfpb:xfComplement xmlns:xfpb="http://schemas.microsoft.com/office/spreadsheetml/2022/featurepropertybag" i="0"/>
        </x:ext>
      </x:extLst>
    </x:xf>
    <x:xf numFmtId="0" fontId="3" fillId="4" borderId="1" xfId="0" applyNumberFormat="1" applyFont="1" applyFill="1" applyBorder="1"/>
    <x:xf numFmtId="0" fontId="3" fillId="4" borderId="1" xfId="0" applyNumberFormat="1" applyFont="1" applyFill="1" applyBorder="1">
      <x:extLst>
        <x:ext uri="{C7286773-470A-42A8-94C5-96B5CB345126}">
          <xfpb:xfComplement xmlns:xfpb="http://schemas.microsoft.com/office/spreadsheetml/2022/featurepropertybag" i="0"/>
        </x:ext>
      </x:extLst>
    </x:xf>
    <x:xf numFmtId="0" fontId="3" fillId="4" borderId="1" xfId="0" applyNumberFormat="1" applyFont="1" applyFill="1" applyBorder="1" applyAlignment="1">
      <x:alignment wrapText="1"/>
    </x:xf>
    <x:xf numFmtId="0" fontId="3" fillId="4"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3" fillId="4" borderId="1" xfId="0" applyNumberFormat="1" applyFont="1" applyFill="1" applyBorder="1" applyAlignment="1">
      <x:alignment wrapText="1"/>
    </x:xf>
    <x:xf numFmtId="200" fontId="0" fillId="0" borderId="0" xfId="0" applyNumberFormat="1" applyFont="1" applyFill="1" applyBorder="1"/>
    <x:xf numFmtId="0" fontId="0" fillId="5" borderId="0" xfId="0" applyNumberFormat="1" applyFont="1" applyFill="1" applyBorder="1"/>
    <x:xf numFmtId="200" fontId="0" fillId="5" borderId="0" xfId="0" applyNumberFormat="1" applyFont="1" applyFill="1" applyBorder="1"/>
    <x:xf numFmtId="0" fontId="2" fillId="5" borderId="0" xfId="0" applyNumberFormat="1" applyFont="1" applyFill="1" applyBorder="1"/>
    <x:xf numFmtId="200" fontId="2" fillId="5" borderId="0" xfId="0" applyNumberFormat="1" applyFont="1" applyFill="1" applyBorder="1"/>
    <x:xf numFmtId="0" fontId="2" fillId="5" borderId="1" xfId="0" applyNumberFormat="1" applyFont="1" applyFill="1" applyBorder="1"/>
    <x:xf numFmtId="200" fontId="2" fillId="5" borderId="1" xfId="0" applyNumberFormat="1" applyFont="1" applyFill="1" applyBorder="1"/>
    <x:xf numFmtId="0" fontId="2" fillId="5" borderId="1" xfId="0" applyNumberFormat="1" applyFont="1" applyFill="1" applyBorder="1" applyAlignment="1">
      <x:alignment wrapText="1"/>
    </x:xf>
    <x:xf numFmtId="200" fontId="2" fillId="5" borderId="1" xfId="0" applyNumberFormat="1" applyFont="1" applyFill="1" applyBorder="1" applyAlignment="1">
      <x:alignment wrapText="1"/>
    </x:xf>
    <x:xf numFmtId="0" fontId="0" fillId="6" borderId="0" xfId="0" applyNumberFormat="1" applyFont="1" applyFill="1" applyBorder="1"/>
    <x:xf numFmtId="200" fontId="0" fillId="6" borderId="0" xfId="0" applyNumberFormat="1" applyFont="1" applyFill="1" applyBorder="1"/>
    <x:xf numFmtId="0" fontId="2" fillId="6" borderId="0" xfId="0" applyNumberFormat="1" applyFont="1" applyFill="1" applyBorder="1"/>
    <x:xf numFmtId="200" fontId="2" fillId="6" borderId="0" xfId="0" applyNumberFormat="1" applyFont="1" applyFill="1" applyBorder="1"/>
    <x:xf numFmtId="0" fontId="2" fillId="6" borderId="1" xfId="0" applyNumberFormat="1" applyFont="1" applyFill="1" applyBorder="1"/>
    <x:xf numFmtId="200" fontId="2" fillId="6" borderId="1" xfId="0" applyNumberFormat="1" applyFont="1" applyFill="1" applyBorder="1"/>
    <x:xf numFmtId="0" fontId="2" fillId="6" borderId="1" xfId="0" applyNumberFormat="1" applyFont="1" applyFill="1" applyBorder="1" applyAlignment="1">
      <x:alignment wrapText="1"/>
    </x:xf>
    <x:xf numFmtId="200" fontId="2" fillId="6" borderId="1" xfId="0" applyNumberFormat="1" applyFont="1" applyFill="1" applyBorder="1" applyAlignment="1">
      <x:alignment wrapText="1"/>
    </x:xf>
    <x:xf numFmtId="200" fontId="0" fillId="4" borderId="0" xfId="0" applyNumberFormat="1" applyFont="1" applyFill="1" applyBorder="1"/>
    <x:xf numFmtId="200" fontId="3" fillId="4" borderId="0" xfId="0" applyNumberFormat="1" applyFont="1" applyFill="1" applyBorder="1"/>
    <x:xf numFmtId="200" fontId="3" fillId="4"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0ab216a0ed49b0" /><Relationship Type="http://schemas.openxmlformats.org/officeDocument/2006/relationships/theme" Target="/xl/theme/theme1.xml" Id="R0283f858669b4e01" /><Relationship Type="http://schemas.microsoft.com/office/2022/11/relationships/FeaturePropertyBag" Target="/xl/featurePropertyBag/featurePropertyBag.xml" Id="R42e498bd36cb4ad2" /><Relationship Type="http://schemas.openxmlformats.org/officeDocument/2006/relationships/sharedStrings" Target="/xl/sharedStrings.xml" Id="Rfe6b1bc4a96b44fa" /><Relationship Type="http://schemas.openxmlformats.org/officeDocument/2006/relationships/worksheet" Target="/xl/worksheets/sheet1.xml" Id="Rfbfba28dd59343ed" /><Relationship Type="http://schemas.openxmlformats.org/officeDocument/2006/relationships/worksheet" Target="/xl/worksheets/sheet2.xml" Id="Re06ea2f783a24575" /><Relationship Type="http://schemas.openxmlformats.org/officeDocument/2006/relationships/worksheet" Target="/xl/worksheets/sheet3.xml" Id="Ra70414ca4b2e41e0" /><Relationship Type="http://schemas.openxmlformats.org/officeDocument/2006/relationships/worksheet" Target="/xl/worksheets/sheet4.xml" Id="R96eee1bd6a8241aa" /><Relationship Type="http://schemas.openxmlformats.org/officeDocument/2006/relationships/worksheet" Target="/xl/worksheets/sheet5.xml" Id="R94086b4f07cb4160" /><Relationship Type="http://schemas.openxmlformats.org/officeDocument/2006/relationships/worksheet" Target="/xl/worksheets/sheet6.xml" Id="R7afefe7cae994ed3" /><Relationship Type="http://schemas.openxmlformats.org/officeDocument/2006/relationships/worksheet" Target="/xl/worksheets/sheet7.xml" Id="Rc9cf03b7343a49f8" /><Relationship Type="http://schemas.openxmlformats.org/officeDocument/2006/relationships/worksheet" Target="/xl/worksheets/sheet8.xml" Id="R4c369f02a599415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2" max="2" width="17.5" hidden="0" customWidth="1"/>
    <x:col min="3" max="3" width="42.5" hidden="0" customWidth="1"/>
    <x:col min="4" max="4" width="20" hidden="0" customWidth="1"/>
    <x:col min="5" max="5" width="20" hidden="0" customWidth="1"/>
    <x:col min="6" max="6" width="20" hidden="0" customWidth="1"/>
  </x:cols>
  <x:sheetData>
    <x:row r="2">
      <x:c r="B2" s="4" t="str">
        <x:v>Module Code</x:v>
      </x:c>
      <x:c r="C2" s="4" t="str">
        <x:v>Module Description</x:v>
      </x:c>
      <x:c r="D2" s="4" t="str">
        <x:v>ClickUp Task Count</x:v>
      </x:c>
      <x:c r="E2" s="4" t="str">
        <x:v>System Weight Allocation</x:v>
      </x:c>
      <x:c r="F2" s="4" t="str">
        <x:v>Actual Accomplishment</x:v>
      </x:c>
    </x:row>
    <x:row r="3">
      <x:c r="B3" s="16" t="str">
        <x:v>MOD-FE</x:v>
      </x:c>
      <x:c r="C3" s="16" t="str">
        <x:v>Frontend User Interface</x:v>
      </x:c>
      <x:c r="D3" s="16" t="n">
        <x:v>20</x:v>
      </x:c>
      <x:c r="E3" s="18" t="n">
        <x:v>0.245</x:v>
      </x:c>
      <x:c r="F3" s="18" t="n">
        <x:f>'MOD-FE'!F248</x:f>
        <x:v>0</x:v>
      </x:c>
    </x:row>
    <x:row r="4">
      <x:c r="B4" s="16" t="str">
        <x:v>MOD-BE</x:v>
      </x:c>
      <x:c r="C4" s="16" t="str">
        <x:v>Backend and API Services</x:v>
      </x:c>
      <x:c r="D4" s="16" t="n">
        <x:v>16</x:v>
      </x:c>
      <x:c r="E4" s="18" t="n">
        <x:v>0.235</x:v>
      </x:c>
      <x:c r="F4" s="18" t="n">
        <x:f>'MOD-BE'!F189</x:f>
        <x:v>0</x:v>
      </x:c>
    </x:row>
    <x:row r="5">
      <x:c r="B5" s="16" t="str">
        <x:v>MOD-DB</x:v>
      </x:c>
      <x:c r="C5" s="16" t="str">
        <x:v>Database, ETL, and Storage Layers</x:v>
      </x:c>
      <x:c r="D5" s="16" t="n">
        <x:v>10</x:v>
      </x:c>
      <x:c r="E5" s="18" t="n">
        <x:v>0.08</x:v>
      </x:c>
      <x:c r="F5" s="18" t="n">
        <x:f>'MOD-DB'!F105</x:f>
        <x:v>0</x:v>
      </x:c>
    </x:row>
    <x:row r="6">
      <x:c r="B6" s="16" t="str">
        <x:v>MOD-ANA</x:v>
      </x:c>
      <x:c r="C6" s="16" t="str">
        <x:v>Analytics, Models, and Decision Support</x:v>
      </x:c>
      <x:c r="D6" s="16" t="n">
        <x:v>6</x:v>
      </x:c>
      <x:c r="E6" s="18" t="n">
        <x:v>0.285</x:v>
      </x:c>
      <x:c r="F6" s="18" t="n">
        <x:f>'MOD-ANA'!F70</x:f>
        <x:v>0</x:v>
      </x:c>
    </x:row>
    <x:row r="7">
      <x:c r="B7" s="16" t="str">
        <x:v>CORE</x:v>
      </x:c>
      <x:c r="C7" s="16" t="str">
        <x:v>Hosting, Repository, and Project Management</x:v>
      </x:c>
      <x:c r="D7" s="16" t="n">
        <x:v>2</x:v>
      </x:c>
      <x:c r="E7" s="18" t="n">
        <x:v>0.055</x:v>
      </x:c>
      <x:c r="F7" s="18" t="n">
        <x:f>'CORE'!F22</x:f>
        <x:v>0</x:v>
      </x:c>
    </x:row>
    <x:row r="8">
      <x:c r="B8" s="16" t="str">
        <x:v>MANUSCRIPT</x:v>
      </x:c>
      <x:c r="C8" s="16" t="str">
        <x:v>Manuscript and Documentation</x:v>
      </x:c>
      <x:c r="D8" s="16" t="n">
        <x:v>6</x:v>
      </x:c>
      <x:c r="E8" s="18" t="n">
        <x:v>0.1</x:v>
      </x:c>
      <x:c r="F8" s="18" t="n">
        <x:f>'MANUSCRIPT'!F62</x:f>
        <x:v>0</x:v>
      </x:c>
    </x:row>
    <x:row r="9">
      <x:c r="B9" s="26" t="str">
        <x:v>TOTAL</x:v>
      </x:c>
      <x:c r="C9" s="26" t="str">
        <x:v>PAULUS Project Scope</x:v>
      </x:c>
      <x:c r="D9" s="26" t="n">
        <x:f>SUM(D3:D8)</x:f>
        <x:v>60</x:v>
      </x:c>
      <x:c r="E9" s="27" t="n">
        <x:f>SUM(E3:E8)</x:f>
        <x:v>1</x:v>
      </x:c>
      <x:c r="F9" s="27" t="n">
        <x:f>SUM(F3:F8)</x:f>
        <x:v>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32.5" hidden="0" customWidth="1"/>
    <x:col min="3" max="3" width="53.75" hidden="0" customWidth="1"/>
    <x:col min="4" max="4" width="15" hidden="0" customWidth="1"/>
    <x:col min="5" max="5" width="16.8799991607666" hidden="0" customWidth="1"/>
    <x:col min="6" max="6" width="16.8799991607666" hidden="0" customWidth="1"/>
  </x:cols>
  <x:sheetData>
    <x:row r="1">
      <x:c r="A1" s="4" t="str">
        <x:v>Task ID</x:v>
      </x:c>
      <x:c r="B1" s="4" t="str">
        <x:v>LOGIN</x:v>
      </x:c>
      <x:c r="C1" s="4" t="str">
        <x:v>Task Name</x:v>
      </x:c>
      <x:c r="D1" s="4" t="str">
        <x:v>Login and User Access Interface</x:v>
      </x:c>
      <x:c r="E1" s="4" t="str">
        <x:v>ClickUp Status</x:v>
      </x:c>
      <x:c r="F1" s="4" t="str">
        <x:v>for qa / internal testing</x:v>
      </x:c>
    </x:row>
    <x:row r="2">
      <x:c r="A2" s="8" t="str">
        <x:v>Subtask ID</x:v>
      </x:c>
      <x:c r="B2" s="8" t="str">
        <x:v>Subtask / Task Name</x:v>
      </x:c>
      <x:c r="C2" s="8" t="str">
        <x:v>Acceptance Criteria</x:v>
      </x:c>
      <x:c r="D2" s="8" t="str">
        <x:v>Weight Allocation</x:v>
      </x:c>
      <x:c r="E2" s="8" t="str">
        <x:v>ClickUp Status</x:v>
      </x:c>
      <x:c r="F2" s="8" t="str">
        <x:v>Accepted</x:v>
      </x:c>
    </x:row>
    <x:row r="3">
      <x:c r="A3" s="16" t="str">
        <x:v>REQ-01</x:v>
      </x:c>
      <x:c r="B3" s="16" t="str">
        <x:v>Define login interface requirements</x:v>
      </x:c>
      <x:c r="C3" s="16" t="str">
        <x:v>Given the PAULUS Define login interface requirements task is implemented, the feature should meet the approved capstone requirements and pass review against its expected behavior.</x:v>
      </x:c>
      <x:c r="D3" s="18" t="n">
        <x:v>0.00153125</x:v>
      </x:c>
      <x:c r="E3" s="16" t="str">
        <x:v>planning/backlog</x:v>
      </x:c>
      <x:c r="F3" s="17" t="b">
        <x:v>0</x:v>
      </x:c>
    </x:row>
    <x:row r="4">
      <x:c r="A4" s="16" t="str">
        <x:v>DES-01</x:v>
      </x:c>
      <x:c r="B4" s="16" t="str">
        <x:v>Design login page wireframe</x:v>
      </x:c>
      <x:c r="C4" s="16" t="str">
        <x:v>Given the PAULUS Design login page wireframe task is implemented, the feature should meet the approved capstone requirements and pass review against its expected behavior.</x:v>
      </x:c>
      <x:c r="D4" s="18" t="n">
        <x:v>0.00153125</x:v>
      </x:c>
      <x:c r="E4" s="16" t="str">
        <x:v>planning/backlog</x:v>
      </x:c>
      <x:c r="F4" s="17" t="b">
        <x:v>0</x:v>
      </x:c>
    </x:row>
    <x:row r="5">
      <x:c r="A5" s="16" t="str">
        <x:v>DEV-01</x:v>
      </x:c>
      <x:c r="B5" s="16" t="str">
        <x:v>Build login page layout</x:v>
      </x:c>
      <x:c r="C5" s="16" t="str">
        <x:v>Given the PAULUS Build login page layout task is implemented, the feature should meet the approved capstone requirements and pass review against its expected behavior.</x:v>
      </x:c>
      <x:c r="D5" s="18" t="n">
        <x:v>0.00153125</x:v>
      </x:c>
      <x:c r="E5" s="16" t="str">
        <x:v>planning/backlog</x:v>
      </x:c>
      <x:c r="F5" s="17" t="b">
        <x:v>0</x:v>
      </x:c>
    </x:row>
    <x:row r="6">
      <x:c r="A6" s="16" t="str">
        <x:v>DEV-02</x:v>
      </x:c>
      <x:c r="B6" s="16" t="str">
        <x:v>Connect login form to authentication API</x:v>
      </x:c>
      <x:c r="C6" s="16" t="str">
        <x:v>Given the PAULUS Connect login form to authentication API task is implemented, the feature should meet the approved capstone requirements and pass review against its expected behavior.</x:v>
      </x:c>
      <x:c r="D6" s="18" t="n">
        <x:v>0.00153125</x:v>
      </x:c>
      <x:c r="E6" s="16" t="str">
        <x:v>planning/backlog</x:v>
      </x:c>
      <x:c r="F6" s="17" t="b">
        <x:v>0</x:v>
      </x:c>
    </x:row>
    <x:row r="7">
      <x:c r="A7" s="16" t="str">
        <x:v>TEST-01</x:v>
      </x:c>
      <x:c r="B7" s="16" t="str">
        <x:v>Test valid and invalid login behavior</x:v>
      </x:c>
      <x:c r="C7" s="16" t="str">
        <x:v>Given the PAULUS Test valid and invalid login behavior task is implemented, the feature should meet the approved capstone requirements and pass review against its expected behavior.</x:v>
      </x:c>
      <x:c r="D7" s="18" t="n">
        <x:v>0.00153125</x:v>
      </x:c>
      <x:c r="E7" s="16" t="str">
        <x:v>planning/backlog</x:v>
      </x:c>
      <x:c r="F7" s="17" t="b">
        <x:v>0</x:v>
      </x:c>
    </x:row>
    <x:row r="8">
      <x:c r="A8" s="16" t="str">
        <x:v>FIX-01</x:v>
      </x:c>
      <x:c r="B8" s="16" t="str">
        <x:v>Resolve login form and validation issues</x:v>
      </x:c>
      <x:c r="C8" s="16" t="str">
        <x:v>Given the PAULUS Resolve login form and validation issues task is implemented, the feature should meet the approved capstone requirements and pass review against its expected behavior.</x:v>
      </x:c>
      <x:c r="D8" s="18" t="n">
        <x:v>0.00153125</x:v>
      </x:c>
      <x:c r="E8" s="16" t="str">
        <x:v>planning/backlog</x:v>
      </x:c>
      <x:c r="F8" s="17" t="b">
        <x:v>0</x:v>
      </x:c>
    </x:row>
    <x:row r="9">
      <x:c r="A9" s="16" t="str">
        <x:v>UAT-01</x:v>
      </x:c>
      <x:c r="B9" s="16" t="str">
        <x:v>Validate login process with target users</x:v>
      </x:c>
      <x:c r="C9" s="16" t="str">
        <x:v>Given the PAULUS Validate login process with target users task is implemented, the feature should meet the approved capstone requirements and pass review against its expected behavior.</x:v>
      </x:c>
      <x:c r="D9" s="18" t="n">
        <x:v>0.00153125</x:v>
      </x:c>
      <x:c r="E9" s="16" t="str">
        <x:v>planning/backlog</x:v>
      </x:c>
      <x:c r="F9" s="17" t="b">
        <x:v>0</x:v>
      </x:c>
    </x:row>
    <x:row r="10">
      <x:c r="A10" s="16" t="str">
        <x:v>MS-01</x:v>
      </x:c>
      <x:c r="B10" s="16" t="str">
        <x:v>Document login interface in Chapter 4</x:v>
      </x:c>
      <x:c r="C10" s="16" t="str">
        <x:v>Given the PAULUS Document login interface in Chapter 4 task is implemented, the feature should meet the approved capstone requirements and pass review against its expected behavior.</x:v>
      </x:c>
      <x:c r="D10" s="18" t="n">
        <x:v>0.00153125</x:v>
      </x:c>
      <x:c r="E10" s="16" t="str">
        <x:v>planning/backlog</x:v>
      </x:c>
      <x:c r="F10" s="17" t="b">
        <x:v>0</x:v>
      </x:c>
    </x:row>
    <x:row r="11">
      <x:c r="A11" s="26" t="str">
        <x:v>Total Accomplished</x:v>
      </x:c>
      <x:c r="B11" s="26" t="str"/>
      <x:c r="C11" s="26" t="str"/>
      <x:c r="D11" s="27" t="n">
        <x:f>SUM(D3:D10)</x:f>
        <x:v>0.012249999999999999</x:v>
      </x:c>
      <x:c r="E11" s="27" t="str"/>
      <x:c r="F11" s="27" t="n">
        <x:f>SUMIF(F3:F10, TRUE, D3:D10)</x:f>
        <x:v>0</x:v>
      </x:c>
    </x:row>
    <x:row r="13">
      <x:c r="A13" s="4" t="str">
        <x:v>Task ID</x:v>
      </x:c>
      <x:c r="B13" s="4" t="str">
        <x:v>DASH</x:v>
      </x:c>
      <x:c r="C13" s="4" t="str">
        <x:v>Task Name</x:v>
      </x:c>
      <x:c r="D13" s="4" t="str">
        <x:v>Main Financial Dashboard</x:v>
      </x:c>
      <x:c r="E13" s="4" t="str">
        <x:v>ClickUp Status</x:v>
      </x:c>
      <x:c r="F13" s="4" t="str">
        <x:v>for qa / internal testing</x:v>
      </x:c>
    </x:row>
    <x:row r="14">
      <x:c r="A14" s="8" t="str">
        <x:v>Subtask ID</x:v>
      </x:c>
      <x:c r="B14" s="8" t="str">
        <x:v>Subtask / Task Name</x:v>
      </x:c>
      <x:c r="C14" s="8" t="str">
        <x:v>Acceptance Criteria</x:v>
      </x:c>
      <x:c r="D14" s="8" t="str">
        <x:v>Weight Allocation</x:v>
      </x:c>
      <x:c r="E14" s="8" t="str">
        <x:v>ClickUp Status</x:v>
      </x:c>
      <x:c r="F14" s="8" t="str">
        <x:v>Accepted</x:v>
      </x:c>
    </x:row>
    <x:row r="15">
      <x:c r="A15" s="16" t="str">
        <x:v>REQ-01</x:v>
      </x:c>
      <x:c r="B15" s="16" t="str">
        <x:v>Define dashboard data and filter requirements</x:v>
      </x:c>
      <x:c r="C15" s="16" t="str">
        <x:v>Given the PAULUS Define dashboard data and filter requirements task is implemented, the feature should meet the approved capstone requirements and pass review against its expected behavior.</x:v>
      </x:c>
      <x:c r="D15" s="18" t="n">
        <x:v>0.001225</x:v>
      </x:c>
      <x:c r="E15" s="16" t="str">
        <x:v>planning/backlog</x:v>
      </x:c>
      <x:c r="F15" s="17" t="b">
        <x:v>0</x:v>
      </x:c>
    </x:row>
    <x:row r="16">
      <x:c r="A16" s="16" t="str">
        <x:v>DES-01</x:v>
      </x:c>
      <x:c r="B16" s="16" t="str">
        <x:v>Create dashboard wireframe</x:v>
      </x:c>
      <x:c r="C16" s="16" t="str">
        <x:v>Given the PAULUS Create dashboard wireframe task is implemented, the feature should meet the approved capstone requirements and pass review against its expected behavior.</x:v>
      </x:c>
      <x:c r="D16" s="18" t="n">
        <x:v>0.001225</x:v>
      </x:c>
      <x:c r="E16" s="16" t="str">
        <x:v>planning/backlog</x:v>
      </x:c>
      <x:c r="F16" s="17" t="b">
        <x:v>0</x:v>
      </x:c>
    </x:row>
    <x:row r="17">
      <x:c r="A17" s="16" t="str">
        <x:v>DEV-01</x:v>
      </x:c>
      <x:c r="B17" s="16" t="str">
        <x:v>Build dashboard layout components</x:v>
      </x:c>
      <x:c r="C17" s="16" t="str">
        <x:v>Given the PAULUS Build dashboard layout components task is implemented, the feature should meet the approved capstone requirements and pass review against its expected behavior.</x:v>
      </x:c>
      <x:c r="D17" s="18" t="n">
        <x:v>0.001225</x:v>
      </x:c>
      <x:c r="E17" s="16" t="str">
        <x:v>planning/backlog</x:v>
      </x:c>
      <x:c r="F17" s="17" t="b">
        <x:v>0</x:v>
      </x:c>
    </x:row>
    <x:row r="18">
      <x:c r="A18" s="16" t="str">
        <x:v>DEV-02</x:v>
      </x:c>
      <x:c r="B18" s="16" t="str">
        <x:v>Add financial summary cards</x:v>
      </x:c>
      <x:c r="C18" s="16" t="str">
        <x:v>Given the PAULUS Add financial summary cards task is implemented, the feature should meet the approved capstone requirements and pass review against its expected behavior.</x:v>
      </x:c>
      <x:c r="D18" s="18" t="n">
        <x:v>0.001225</x:v>
      </x:c>
      <x:c r="E18" s="16" t="str">
        <x:v>planning/backlog</x:v>
      </x:c>
      <x:c r="F18" s="17" t="b">
        <x:v>0</x:v>
      </x:c>
    </x:row>
    <x:row r="19">
      <x:c r="A19" s="16" t="str">
        <x:v>DEV-03</x:v>
      </x:c>
      <x:c r="B19" s="16" t="str">
        <x:v>Add chart and visualization components</x:v>
      </x:c>
      <x:c r="C19" s="16" t="str">
        <x:v>Given the PAULUS Add chart and visualization components task is implemented, the feature should meet the approved capstone requirements and pass review against its expected behavior.</x:v>
      </x:c>
      <x:c r="D19" s="18" t="n">
        <x:v>0.001225</x:v>
      </x:c>
      <x:c r="E19" s="16" t="str">
        <x:v>planning/backlog</x:v>
      </x:c>
      <x:c r="F19" s="17" t="b">
        <x:v>0</x:v>
      </x:c>
    </x:row>
    <x:row r="20">
      <x:c r="A20" s="16" t="str">
        <x:v>DEV-04</x:v>
      </x:c>
      <x:c r="B20" s="16" t="str">
        <x:v>Connect dashboard to backend API data</x:v>
      </x:c>
      <x:c r="C20" s="16" t="str">
        <x:v>Given the PAULUS Connect dashboard to backend API data task is implemented, the feature should meet the approved capstone requirements and pass review against its expected behavior.</x:v>
      </x:c>
      <x:c r="D20" s="18" t="n">
        <x:v>0.001225</x:v>
      </x:c>
      <x:c r="E20" s="16" t="str">
        <x:v>planning/backlog</x:v>
      </x:c>
      <x:c r="F20" s="17" t="b">
        <x:v>0</x:v>
      </x:c>
    </x:row>
    <x:row r="21">
      <x:c r="A21" s="16" t="str">
        <x:v>TEST-01</x:v>
      </x:c>
      <x:c r="B21" s="16" t="str">
        <x:v>Verify dashboard data rendering and filters</x:v>
      </x:c>
      <x:c r="C21" s="16" t="str">
        <x:v>Given the PAULUS Verify dashboard data rendering and filters task is implemented, the feature should meet the approved capstone requirements and pass review against its expected behavior.</x:v>
      </x:c>
      <x:c r="D21" s="18" t="n">
        <x:v>0.001225</x:v>
      </x:c>
      <x:c r="E21" s="16" t="str">
        <x:v>planning/backlog</x:v>
      </x:c>
      <x:c r="F21" s="17" t="b">
        <x:v>0</x:v>
      </x:c>
    </x:row>
    <x:row r="22">
      <x:c r="A22" s="16" t="str">
        <x:v>FIX-01</x:v>
      </x:c>
      <x:c r="B22" s="16" t="str">
        <x:v>Resolve dashboard display and calculation issues</x:v>
      </x:c>
      <x:c r="C22" s="16" t="str">
        <x:v>Given the PAULUS Resolve dashboard display and calculation issues task is implemented, the feature should meet the approved capstone requirements and pass review against its expected behavior.</x:v>
      </x:c>
      <x:c r="D22" s="18" t="n">
        <x:v>0.001225</x:v>
      </x:c>
      <x:c r="E22" s="16" t="str">
        <x:v>planning/backlog</x:v>
      </x:c>
      <x:c r="F22" s="17" t="b">
        <x:v>0</x:v>
      </x:c>
    </x:row>
    <x:row r="23">
      <x:c r="A23" s="16" t="str">
        <x:v>UAT-01</x:v>
      </x:c>
      <x:c r="B23" s="16" t="str">
        <x:v>Validate dashboard usability with target users</x:v>
      </x:c>
      <x:c r="C23" s="16" t="str">
        <x:v>Given the PAULUS Validate dashboard usability with target users task is implemented, the feature should meet the approved capstone requirements and pass review against its expected behavior.</x:v>
      </x:c>
      <x:c r="D23" s="18" t="n">
        <x:v>0.001225</x:v>
      </x:c>
      <x:c r="E23" s="16" t="str">
        <x:v>planning/backlog</x:v>
      </x:c>
      <x:c r="F23" s="17" t="b">
        <x:v>0</x:v>
      </x:c>
    </x:row>
    <x:row r="24">
      <x:c r="A24" s="16" t="str">
        <x:v>MS-01</x:v>
      </x:c>
      <x:c r="B24" s="16" t="str">
        <x:v>Document dashboard module in Chapter 4</x:v>
      </x:c>
      <x:c r="C24" s="16" t="str">
        <x:v>Given the PAULUS Document dashboard module in Chapter 4 task is implemented, the feature should meet the approved capstone requirements and pass review against its expected behavior.</x:v>
      </x:c>
      <x:c r="D24" s="18" t="n">
        <x:v>0.001225</x:v>
      </x:c>
      <x:c r="E24" s="16" t="str">
        <x:v>planning/backlog</x:v>
      </x:c>
      <x:c r="F24" s="17" t="b">
        <x:v>0</x:v>
      </x:c>
    </x:row>
    <x:row r="25">
      <x:c r="A25" s="26" t="str">
        <x:v>Total Accomplished</x:v>
      </x:c>
      <x:c r="B25" s="26" t="str"/>
      <x:c r="C25" s="26" t="str"/>
      <x:c r="D25" s="27" t="n">
        <x:f>SUM(D15:D24)</x:f>
        <x:v>0.012250000000000002</x:v>
      </x:c>
      <x:c r="E25" s="27" t="str"/>
      <x:c r="F25" s="27" t="n">
        <x:f>SUMIF(F15:F24, TRUE, D15:D24)</x:f>
        <x:v>0</x:v>
      </x:c>
    </x:row>
    <x:row r="27">
      <x:c r="A27" s="4" t="str">
        <x:v>Task ID</x:v>
      </x:c>
      <x:c r="B27" s="4" t="str">
        <x:v>INST</x:v>
      </x:c>
      <x:c r="C27" s="4" t="str">
        <x:v>Task Name</x:v>
      </x:c>
      <x:c r="D27" s="4" t="str">
        <x:v>Institution Management Interface</x:v>
      </x:c>
      <x:c r="E27" s="4" t="str">
        <x:v>ClickUp Status</x:v>
      </x:c>
      <x:c r="F27" s="4" t="str">
        <x:v>for qa / internal testing</x:v>
      </x:c>
    </x:row>
    <x:row r="28">
      <x:c r="A28" s="8" t="str">
        <x:v>Subtask ID</x:v>
      </x:c>
      <x:c r="B28" s="8" t="str">
        <x:v>Subtask / Task Name</x:v>
      </x:c>
      <x:c r="C28" s="8" t="str">
        <x:v>Acceptance Criteria</x:v>
      </x:c>
      <x:c r="D28" s="8" t="str">
        <x:v>Weight Allocation</x:v>
      </x:c>
      <x:c r="E28" s="8" t="str">
        <x:v>ClickUp Status</x:v>
      </x:c>
      <x:c r="F28" s="8" t="str">
        <x:v>Accepted</x:v>
      </x:c>
    </x:row>
    <x:row r="29">
      <x:c r="A29" s="16" t="str">
        <x:v>REQ-01</x:v>
      </x:c>
      <x:c r="B29" s="16" t="str">
        <x:v>Define institution management requirements</x:v>
      </x:c>
      <x:c r="C29" s="16" t="str">
        <x:v>Given the PAULUS Define institution management requirements task is implemented, the feature should meet the approved capstone requirements and pass review against its expected behavior.</x:v>
      </x:c>
      <x:c r="D29" s="18" t="n">
        <x:v>0.00175</x:v>
      </x:c>
      <x:c r="E29" s="16" t="str">
        <x:v>standardized subtask - URL pending</x:v>
      </x:c>
      <x:c r="F29" s="17" t="b">
        <x:v>0</x:v>
      </x:c>
    </x:row>
    <x:row r="30">
      <x:c r="A30" s="16" t="str">
        <x:v>DES-01</x:v>
      </x:c>
      <x:c r="B30" s="16" t="str">
        <x:v>Design institution management interface and workflow</x:v>
      </x:c>
      <x:c r="C30" s="16" t="str">
        <x:v>Given the PAULUS Design institution management interface and workflow task is implemented, the feature should meet the approved capstone requirements and pass review against its expected behavior.</x:v>
      </x:c>
      <x:c r="D30" s="18" t="n">
        <x:v>0.00175</x:v>
      </x:c>
      <x:c r="E30" s="16" t="str">
        <x:v>standardized subtask - URL pending</x:v>
      </x:c>
      <x:c r="F30" s="17" t="b">
        <x:v>0</x:v>
      </x:c>
    </x:row>
    <x:row r="31">
      <x:c r="A31" s="16" t="str">
        <x:v>DEV-01</x:v>
      </x:c>
      <x:c r="B31" s="16" t="str">
        <x:v>Build institution management interface</x:v>
      </x:c>
      <x:c r="C31" s="16" t="str">
        <x:v>Given the PAULUS Build institution management interface task is implemented, the feature should meet the approved capstone requirements and pass review against its expected behavior.</x:v>
      </x:c>
      <x:c r="D31" s="18" t="n">
        <x:v>0.00175</x:v>
      </x:c>
      <x:c r="E31" s="16" t="str">
        <x:v>standardized subtask - URL pending</x:v>
      </x:c>
      <x:c r="F31" s="17" t="b">
        <x:v>0</x:v>
      </x:c>
    </x:row>
    <x:row r="32">
      <x:c r="A32" s="16" t="str">
        <x:v>TEST-01</x:v>
      </x:c>
      <x:c r="B32" s="16" t="str">
        <x:v>Test institution create, update, view, and validation behavior</x:v>
      </x:c>
      <x:c r="C32" s="16" t="str">
        <x:v>Given the PAULUS Test institution create, update, view, and validation behavior task is implemented, the feature should meet the approved capstone requirements and pass review against its expected behavior.</x:v>
      </x:c>
      <x:c r="D32" s="18" t="n">
        <x:v>0.00175</x:v>
      </x:c>
      <x:c r="E32" s="16" t="str">
        <x:v>standardized subtask - URL pending</x:v>
      </x:c>
      <x:c r="F32" s="17" t="b">
        <x:v>0</x:v>
      </x:c>
    </x:row>
    <x:row r="33">
      <x:c r="A33" s="16" t="str">
        <x:v>FIX-01</x:v>
      </x:c>
      <x:c r="B33" s="16" t="str">
        <x:v>Resolve institution management issues</x:v>
      </x:c>
      <x:c r="C33" s="16" t="str">
        <x:v>Given the PAULUS Resolve institution management issues task is implemented, the feature should meet the approved capstone requirements and pass review against its expected behavior.</x:v>
      </x:c>
      <x:c r="D33" s="18" t="n">
        <x:v>0.00175</x:v>
      </x:c>
      <x:c r="E33" s="16" t="str">
        <x:v>standardized subtask - URL pending</x:v>
      </x:c>
      <x:c r="F33" s="17" t="b">
        <x:v>0</x:v>
      </x:c>
    </x:row>
    <x:row r="34">
      <x:c r="A34" s="16" t="str">
        <x:v>UAT-01</x:v>
      </x:c>
      <x:c r="B34" s="16" t="str">
        <x:v>Validate institution management with target users</x:v>
      </x:c>
      <x:c r="C34" s="16" t="str">
        <x:v>Given the PAULUS Validate institution management with target users task is implemented, the feature should meet the approved capstone requirements and pass review against its expected behavior.</x:v>
      </x:c>
      <x:c r="D34" s="18" t="n">
        <x:v>0.00175</x:v>
      </x:c>
      <x:c r="E34" s="16" t="str">
        <x:v>standardized subtask - URL pending</x:v>
      </x:c>
      <x:c r="F34" s="17" t="b">
        <x:v>0</x:v>
      </x:c>
    </x:row>
    <x:row r="35">
      <x:c r="A35" s="16" t="str">
        <x:v>MS-01</x:v>
      </x:c>
      <x:c r="B35" s="16" t="str">
        <x:v>Document institution management module in Chapter 4</x:v>
      </x:c>
      <x:c r="C35" s="16" t="str">
        <x:v>Given the PAULUS Document institution management module in Chapter 4 task is implemented, the feature should meet the approved capstone requirements and pass review against its expected behavior.</x:v>
      </x:c>
      <x:c r="D35" s="18" t="n">
        <x:v>0.00175</x:v>
      </x:c>
      <x:c r="E35" s="16" t="str">
        <x:v>standardized subtask - URL pending</x:v>
      </x:c>
      <x:c r="F35" s="17" t="b">
        <x:v>0</x:v>
      </x:c>
    </x:row>
    <x:row r="36">
      <x:c r="A36" s="26" t="str">
        <x:v>Total Accomplished</x:v>
      </x:c>
      <x:c r="B36" s="26" t="str"/>
      <x:c r="C36" s="26" t="str"/>
      <x:c r="D36" s="27" t="n">
        <x:f>SUM(D29:D35)</x:f>
        <x:v>0.01225</x:v>
      </x:c>
      <x:c r="E36" s="27" t="str"/>
      <x:c r="F36" s="27" t="n">
        <x:f>SUMIF(F29:F35, TRUE, D29:D35)</x:f>
        <x:v>0</x:v>
      </x:c>
    </x:row>
    <x:row r="38">
      <x:c r="A38" s="4" t="str">
        <x:v>Task ID</x:v>
      </x:c>
      <x:c r="B38" s="4" t="str">
        <x:v>TWIN</x:v>
      </x:c>
      <x:c r="C38" s="4" t="str">
        <x:v>Task Name</x:v>
      </x:c>
      <x:c r="D38" s="4" t="str">
        <x:v>Digital Twin Interface</x:v>
      </x:c>
      <x:c r="E38" s="4" t="str">
        <x:v>ClickUp Status</x:v>
      </x:c>
      <x:c r="F38" s="4" t="str">
        <x:v>for qa / internal testing</x:v>
      </x:c>
    </x:row>
    <x:row r="39">
      <x:c r="A39" s="8" t="str">
        <x:v>Subtask ID</x:v>
      </x:c>
      <x:c r="B39" s="8" t="str">
        <x:v>Subtask / Task Name</x:v>
      </x:c>
      <x:c r="C39" s="8" t="str">
        <x:v>Acceptance Criteria</x:v>
      </x:c>
      <x:c r="D39" s="8" t="str">
        <x:v>Weight Allocation</x:v>
      </x:c>
      <x:c r="E39" s="8" t="str">
        <x:v>ClickUp Status</x:v>
      </x:c>
      <x:c r="F39" s="8" t="str">
        <x:v>Accepted</x:v>
      </x:c>
    </x:row>
    <x:row r="40">
      <x:c r="A40" s="16" t="str">
        <x:v>REQ-01</x:v>
      </x:c>
      <x:c r="B40" s="16" t="str">
        <x:v>Define digital twin interface requirements</x:v>
      </x:c>
      <x:c r="C40" s="16" t="str">
        <x:v>Given the PAULUS Define digital twin interface requirements task is implemented, the feature should meet the approved capstone requirements and pass review against its expected behavior.</x:v>
      </x:c>
      <x:c r="D40" s="18" t="n">
        <x:v>0.0013611111111111111</x:v>
      </x:c>
      <x:c r="E40" s="16" t="str">
        <x:v>planning/backlog</x:v>
      </x:c>
      <x:c r="F40" s="17" t="b">
        <x:v>0</x:v>
      </x:c>
    </x:row>
    <x:row r="41">
      <x:c r="A41" s="16" t="str">
        <x:v>DES-01</x:v>
      </x:c>
      <x:c r="B41" s="16" t="str">
        <x:v>Design digital twin institution selector and launcher</x:v>
      </x:c>
      <x:c r="C41" s="16" t="str">
        <x:v>Given the PAULUS Design digital twin institution selector and launcher task is implemented, the feature should meet the approved capstone requirements and pass review against its expected behavior.</x:v>
      </x:c>
      <x:c r="D41" s="18" t="n">
        <x:v>0.0013611111111111111</x:v>
      </x:c>
      <x:c r="E41" s="16" t="str">
        <x:v>planning/backlog</x:v>
      </x:c>
      <x:c r="F41" s="17" t="b">
        <x:v>0</x:v>
      </x:c>
    </x:row>
    <x:row r="42">
      <x:c r="A42" s="16" t="str">
        <x:v>DEV-01</x:v>
      </x:c>
      <x:c r="B42" s="16" t="str">
        <x:v>Build institution selection and session management</x:v>
      </x:c>
      <x:c r="C42" s="16" t="str">
        <x:v>Given the PAULUS Build institution selection and session management task is implemented, the feature should meet the approved capstone requirements and pass review against its expected behavior.</x:v>
      </x:c>
      <x:c r="D42" s="18" t="n">
        <x:v>0.0013611111111111111</x:v>
      </x:c>
      <x:c r="E42" s="16" t="str">
        <x:v>planning/backlog</x:v>
      </x:c>
      <x:c r="F42" s="17" t="b">
        <x:v>0</x:v>
      </x:c>
    </x:row>
    <x:row r="43">
      <x:c r="A43" s="16" t="str">
        <x:v>DEV-02</x:v>
      </x:c>
      <x:c r="B43" s="16" t="str">
        <x:v>Build digital twin scenario launch and history flow</x:v>
      </x:c>
      <x:c r="C43" s="16" t="str">
        <x:v>Given the PAULUS Build digital twin scenario launch and history flow task is implemented, the feature should meet the approved capstone requirements and pass review against its expected behavior.</x:v>
      </x:c>
      <x:c r="D43" s="18" t="n">
        <x:v>0.0013611111111111111</x:v>
      </x:c>
      <x:c r="E43" s="16" t="str">
        <x:v>planning/backlog</x:v>
      </x:c>
      <x:c r="F43" s="17" t="b">
        <x:v>0</x:v>
      </x:c>
    </x:row>
    <x:row r="44">
      <x:c r="A44" s="16" t="str">
        <x:v>DEV-03</x:v>
      </x:c>
      <x:c r="B44" s="16" t="str">
        <x:v>Connect digital twin to backend simulation data</x:v>
      </x:c>
      <x:c r="C44" s="16" t="str">
        <x:v>Given the PAULUS Connect digital twin to backend simulation data task is implemented, the feature should meet the approved capstone requirements and pass review against its expected behavior.</x:v>
      </x:c>
      <x:c r="D44" s="18" t="n">
        <x:v>0.0013611111111111111</x:v>
      </x:c>
      <x:c r="E44" s="16" t="str">
        <x:v>planning/backlog</x:v>
      </x:c>
      <x:c r="F44" s="17" t="b">
        <x:v>0</x:v>
      </x:c>
    </x:row>
    <x:row r="45">
      <x:c r="A45" s="16" t="str">
        <x:v>TEST-01</x:v>
      </x:c>
      <x:c r="B45" s="16" t="str">
        <x:v>Test digital twin institution selection and launch behavior</x:v>
      </x:c>
      <x:c r="C45" s="16" t="str">
        <x:v>Given the PAULUS Test digital twin institution selection and launch behavior task is implemented, the feature should meet the approved capstone requirements and pass review against its expected behavior.</x:v>
      </x:c>
      <x:c r="D45" s="18" t="n">
        <x:v>0.0013611111111111111</x:v>
      </x:c>
      <x:c r="E45" s="16" t="str">
        <x:v>planning/backlog</x:v>
      </x:c>
      <x:c r="F45" s="17" t="b">
        <x:v>0</x:v>
      </x:c>
    </x:row>
    <x:row r="46">
      <x:c r="A46" s="16" t="str">
        <x:v>FIX-01</x:v>
      </x:c>
      <x:c r="B46" s="16" t="str">
        <x:v>Resolve digital twin interface and session issues</x:v>
      </x:c>
      <x:c r="C46" s="16" t="str">
        <x:v>Given the PAULUS Resolve digital twin interface and session issues task is implemented, the feature should meet the approved capstone requirements and pass review against its expected behavior.</x:v>
      </x:c>
      <x:c r="D46" s="18" t="n">
        <x:v>0.0013611111111111111</x:v>
      </x:c>
      <x:c r="E46" s="16" t="str">
        <x:v>planning/backlog</x:v>
      </x:c>
      <x:c r="F46" s="17" t="b">
        <x:v>0</x:v>
      </x:c>
    </x:row>
    <x:row r="47">
      <x:c r="A47" s="16" t="str">
        <x:v>UAT-01</x:v>
      </x:c>
      <x:c r="B47" s="16" t="str">
        <x:v>Validate digital twin interface with target users</x:v>
      </x:c>
      <x:c r="C47" s="16" t="str">
        <x:v>Given the PAULUS Validate digital twin interface with target users task is implemented, the feature should meet the approved capstone requirements and pass review against its expected behavior.</x:v>
      </x:c>
      <x:c r="D47" s="18" t="n">
        <x:v>0.0013611111111111111</x:v>
      </x:c>
      <x:c r="E47" s="16" t="str">
        <x:v>planning/backlog</x:v>
      </x:c>
      <x:c r="F47" s="17" t="b">
        <x:v>0</x:v>
      </x:c>
    </x:row>
    <x:row r="48">
      <x:c r="A48" s="16" t="str">
        <x:v>MS-01</x:v>
      </x:c>
      <x:c r="B48" s="16" t="str">
        <x:v>Document digital twin interface in Chapter 4</x:v>
      </x:c>
      <x:c r="C48" s="16" t="str">
        <x:v>Given the PAULUS Document digital twin interface in Chapter 4 task is implemented, the feature should meet the approved capstone requirements and pass review against its expected behavior.</x:v>
      </x:c>
      <x:c r="D48" s="18" t="n">
        <x:v>0.0013611111111111111</x:v>
      </x:c>
      <x:c r="E48" s="16" t="str">
        <x:v>planning/backlog</x:v>
      </x:c>
      <x:c r="F48" s="17" t="b">
        <x:v>0</x:v>
      </x:c>
    </x:row>
    <x:row r="49">
      <x:c r="A49" s="26" t="str">
        <x:v>Total Accomplished</x:v>
      </x:c>
      <x:c r="B49" s="26" t="str"/>
      <x:c r="C49" s="26" t="str"/>
      <x:c r="D49" s="27" t="n">
        <x:f>SUM(D40:D48)</x:f>
        <x:v>0.012250000000000002</x:v>
      </x:c>
      <x:c r="E49" s="27" t="str"/>
      <x:c r="F49" s="27" t="n">
        <x:f>SUMIF(F40:F48, TRUE, D40:D48)</x:f>
        <x:v>0</x:v>
      </x:c>
    </x:row>
    <x:row r="51">
      <x:c r="A51" s="4" t="str">
        <x:v>Task ID</x:v>
      </x:c>
      <x:c r="B51" s="4" t="str">
        <x:v>WHATIF</x:v>
      </x:c>
      <x:c r="C51" s="4" t="str">
        <x:v>Task Name</x:v>
      </x:c>
      <x:c r="D51" s="4" t="str">
        <x:v>What-If Simulator Interface</x:v>
      </x:c>
      <x:c r="E51" s="4" t="str">
        <x:v>ClickUp Status</x:v>
      </x:c>
      <x:c r="F51" s="4" t="str">
        <x:v>for qa / internal testing</x:v>
      </x:c>
    </x:row>
    <x:row r="52">
      <x:c r="A52" s="8" t="str">
        <x:v>Subtask ID</x:v>
      </x:c>
      <x:c r="B52" s="8" t="str">
        <x:v>Subtask / Task Name</x:v>
      </x:c>
      <x:c r="C52" s="8" t="str">
        <x:v>Acceptance Criteria</x:v>
      </x:c>
      <x:c r="D52" s="8" t="str">
        <x:v>Weight Allocation</x:v>
      </x:c>
      <x:c r="E52" s="8" t="str">
        <x:v>ClickUp Status</x:v>
      </x:c>
      <x:c r="F52" s="8" t="str">
        <x:v>Accepted</x:v>
      </x:c>
    </x:row>
    <x:row r="53">
      <x:c r="A53" s="16" t="str">
        <x:v>REQ-01</x:v>
      </x:c>
      <x:c r="B53" s="16" t="str">
        <x:v>Define what-if simulator requirements</x:v>
      </x:c>
      <x:c r="C53" s="16" t="str">
        <x:v>Given the PAULUS Define what-if simulator requirements task is implemented, the feature should meet the approved capstone requirements and pass review against its expected behavior.</x:v>
      </x:c>
      <x:c r="D53" s="18" t="n">
        <x:v>0.00175</x:v>
      </x:c>
      <x:c r="E53" s="16" t="str">
        <x:v>standardized subtask - URL pending</x:v>
      </x:c>
      <x:c r="F53" s="17" t="b">
        <x:v>0</x:v>
      </x:c>
    </x:row>
    <x:row r="54">
      <x:c r="A54" s="16" t="str">
        <x:v>DES-01</x:v>
      </x:c>
      <x:c r="B54" s="16" t="str">
        <x:v>Design what-if simulator input and output workflow</x:v>
      </x:c>
      <x:c r="C54" s="16" t="str">
        <x:v>Given the PAULUS Design what-if simulator input and output workflow task is implemented, the feature should meet the approved capstone requirements and pass review against its expected behavior.</x:v>
      </x:c>
      <x:c r="D54" s="18" t="n">
        <x:v>0.00175</x:v>
      </x:c>
      <x:c r="E54" s="16" t="str">
        <x:v>standardized subtask - URL pending</x:v>
      </x:c>
      <x:c r="F54" s="17" t="b">
        <x:v>0</x:v>
      </x:c>
    </x:row>
    <x:row r="55">
      <x:c r="A55" s="16" t="str">
        <x:v>DEV-01</x:v>
      </x:c>
      <x:c r="B55" s="16" t="str">
        <x:v>Build what-if simulator interface</x:v>
      </x:c>
      <x:c r="C55" s="16" t="str">
        <x:v>Given the PAULUS Build what-if simulator interface task is implemented, the feature should meet the approved capstone requirements and pass review against its expected behavior.</x:v>
      </x:c>
      <x:c r="D55" s="18" t="n">
        <x:v>0.00175</x:v>
      </x:c>
      <x:c r="E55" s="16" t="str">
        <x:v>standardized subtask - URL pending</x:v>
      </x:c>
      <x:c r="F55" s="17" t="b">
        <x:v>0</x:v>
      </x:c>
    </x:row>
    <x:row r="56">
      <x:c r="A56" s="16" t="str">
        <x:v>TEST-01</x:v>
      </x:c>
      <x:c r="B56" s="16" t="str">
        <x:v>Test scenario input, calculation display, and reset behavior</x:v>
      </x:c>
      <x:c r="C56" s="16" t="str">
        <x:v>Given the PAULUS Test scenario input, calculation display, and reset behavior task is implemented, the feature should meet the approved capstone requirements and pass review against its expected behavior.</x:v>
      </x:c>
      <x:c r="D56" s="18" t="n">
        <x:v>0.00175</x:v>
      </x:c>
      <x:c r="E56" s="16" t="str">
        <x:v>standardized subtask - URL pending</x:v>
      </x:c>
      <x:c r="F56" s="17" t="b">
        <x:v>0</x:v>
      </x:c>
    </x:row>
    <x:row r="57">
      <x:c r="A57" s="16" t="str">
        <x:v>FIX-01</x:v>
      </x:c>
      <x:c r="B57" s="16" t="str">
        <x:v>Resolve what-if simulator issues</x:v>
      </x:c>
      <x:c r="C57" s="16" t="str">
        <x:v>Given the PAULUS Resolve what-if simulator issues task is implemented, the feature should meet the approved capstone requirements and pass review against its expected behavior.</x:v>
      </x:c>
      <x:c r="D57" s="18" t="n">
        <x:v>0.00175</x:v>
      </x:c>
      <x:c r="E57" s="16" t="str">
        <x:v>standardized subtask - URL pending</x:v>
      </x:c>
      <x:c r="F57" s="17" t="b">
        <x:v>0</x:v>
      </x:c>
    </x:row>
    <x:row r="58">
      <x:c r="A58" s="16" t="str">
        <x:v>UAT-01</x:v>
      </x:c>
      <x:c r="B58" s="16" t="str">
        <x:v>Validate what-if simulator with target users</x:v>
      </x:c>
      <x:c r="C58" s="16" t="str">
        <x:v>Given the PAULUS Validate what-if simulator with target users task is implemented, the feature should meet the approved capstone requirements and pass review against its expected behavior.</x:v>
      </x:c>
      <x:c r="D58" s="18" t="n">
        <x:v>0.00175</x:v>
      </x:c>
      <x:c r="E58" s="16" t="str">
        <x:v>standardized subtask - URL pending</x:v>
      </x:c>
      <x:c r="F58" s="17" t="b">
        <x:v>0</x:v>
      </x:c>
    </x:row>
    <x:row r="59">
      <x:c r="A59" s="16" t="str">
        <x:v>MS-01</x:v>
      </x:c>
      <x:c r="B59" s="16" t="str">
        <x:v>Document what-if simulator module in Chapter 4</x:v>
      </x:c>
      <x:c r="C59" s="16" t="str">
        <x:v>Given the PAULUS Document what-if simulator module in Chapter 4 task is implemented, the feature should meet the approved capstone requirements and pass review against its expected behavior.</x:v>
      </x:c>
      <x:c r="D59" s="18" t="n">
        <x:v>0.00175</x:v>
      </x:c>
      <x:c r="E59" s="16" t="str">
        <x:v>standardized subtask - URL pending</x:v>
      </x:c>
      <x:c r="F59" s="17" t="b">
        <x:v>0</x:v>
      </x:c>
    </x:row>
    <x:row r="60">
      <x:c r="A60" s="26" t="str">
        <x:v>Total Accomplished</x:v>
      </x:c>
      <x:c r="B60" s="26" t="str"/>
      <x:c r="C60" s="26" t="str"/>
      <x:c r="D60" s="27" t="n">
        <x:f>SUM(D53:D59)</x:f>
        <x:v>0.01225</x:v>
      </x:c>
      <x:c r="E60" s="27" t="str"/>
      <x:c r="F60" s="27" t="n">
        <x:f>SUMIF(F53:F59, TRUE, D53:D59)</x:f>
        <x:v>0</x:v>
      </x:c>
    </x:row>
    <x:row r="62">
      <x:c r="A62" s="4" t="str">
        <x:v>Task ID</x:v>
      </x:c>
      <x:c r="B62" s="4" t="str">
        <x:v>BUDGET</x:v>
      </x:c>
      <x:c r="C62" s="4" t="str">
        <x:v>Task Name</x:v>
      </x:c>
      <x:c r="D62" s="4" t="str">
        <x:v>Budget Page</x:v>
      </x:c>
      <x:c r="E62" s="4" t="str">
        <x:v>ClickUp Status</x:v>
      </x:c>
      <x:c r="F62" s="4" t="str">
        <x:v>planning/backlog</x:v>
      </x:c>
    </x:row>
    <x:row r="63">
      <x:c r="A63" s="8" t="str">
        <x:v>Subtask ID</x:v>
      </x:c>
      <x:c r="B63" s="8" t="str">
        <x:v>Subtask / Task Name</x:v>
      </x:c>
      <x:c r="C63" s="8" t="str">
        <x:v>Acceptance Criteria</x:v>
      </x:c>
      <x:c r="D63" s="8" t="str">
        <x:v>Weight Allocation</x:v>
      </x:c>
      <x:c r="E63" s="8" t="str">
        <x:v>ClickUp Status</x:v>
      </x:c>
      <x:c r="F63" s="8" t="str">
        <x:v>Accepted</x:v>
      </x:c>
    </x:row>
    <x:row r="64">
      <x:c r="A64" s="16" t="str">
        <x:v>REQ-01</x:v>
      </x:c>
      <x:c r="B64" s="16" t="str">
        <x:v>Define budget page requirements</x:v>
      </x:c>
      <x:c r="C64" s="16" t="str">
        <x:v>Given the PAULUS Define budget page requirements task is implemented, the feature should meet the approved capstone requirements and pass review against its expected behavior.</x:v>
      </x:c>
      <x:c r="D64" s="18" t="n">
        <x:v>0.00175</x:v>
      </x:c>
      <x:c r="E64" s="16" t="str">
        <x:v>planning/backlog</x:v>
      </x:c>
      <x:c r="F64" s="17" t="b">
        <x:v>0</x:v>
      </x:c>
    </x:row>
    <x:row r="65">
      <x:c r="A65" s="16" t="str">
        <x:v>DES-01</x:v>
      </x:c>
      <x:c r="B65" s="16" t="str">
        <x:v>Design budget page interface and workflow</x:v>
      </x:c>
      <x:c r="C65" s="16" t="str">
        <x:v>Given the PAULUS Design budget page interface and workflow task is implemented, the feature should meet the approved capstone requirements and pass review against its expected behavior.</x:v>
      </x:c>
      <x:c r="D65" s="18" t="n">
        <x:v>0.00175</x:v>
      </x:c>
      <x:c r="E65" s="16" t="str">
        <x:v>planning/backlog</x:v>
      </x:c>
      <x:c r="F65" s="17" t="b">
        <x:v>0</x:v>
      </x:c>
    </x:row>
    <x:row r="66">
      <x:c r="A66" s="16" t="str">
        <x:v>DEV-01</x:v>
      </x:c>
      <x:c r="B66" s="16" t="str">
        <x:v>Build budget page interface</x:v>
      </x:c>
      <x:c r="C66" s="16" t="str">
        <x:v>Given the PAULUS Build budget page interface task is implemented, the feature should meet the approved capstone requirements and pass review against its expected behavior.</x:v>
      </x:c>
      <x:c r="D66" s="18" t="n">
        <x:v>0.00175</x:v>
      </x:c>
      <x:c r="E66" s="16" t="str">
        <x:v>planning/backlog</x:v>
      </x:c>
      <x:c r="F66" s="17" t="b">
        <x:v>0</x:v>
      </x:c>
    </x:row>
    <x:row r="67">
      <x:c r="A67" s="16" t="str">
        <x:v>TEST-01</x:v>
      </x:c>
      <x:c r="B67" s="16" t="str">
        <x:v>Test budget page display, totals, filters, and validation</x:v>
      </x:c>
      <x:c r="C67" s="16" t="str">
        <x:v>Given the PAULUS Test budget page display, totals, filters, and validation task is implemented, the feature should meet the approved capstone requirements and pass review against its expected behavior.</x:v>
      </x:c>
      <x:c r="D67" s="18" t="n">
        <x:v>0.00175</x:v>
      </x:c>
      <x:c r="E67" s="16" t="str">
        <x:v>planning/backlog</x:v>
      </x:c>
      <x:c r="F67" s="17" t="b">
        <x:v>0</x:v>
      </x:c>
    </x:row>
    <x:row r="68">
      <x:c r="A68" s="16" t="str">
        <x:v>FIX-01</x:v>
      </x:c>
      <x:c r="B68" s="16" t="str">
        <x:v>Resolve budget page issues</x:v>
      </x:c>
      <x:c r="C68" s="16" t="str">
        <x:v>Given the PAULUS Resolve budget page issues task is implemented, the feature should meet the approved capstone requirements and pass review against its expected behavior.</x:v>
      </x:c>
      <x:c r="D68" s="18" t="n">
        <x:v>0.00175</x:v>
      </x:c>
      <x:c r="E68" s="16" t="str">
        <x:v>planning/backlog</x:v>
      </x:c>
      <x:c r="F68" s="17" t="b">
        <x:v>0</x:v>
      </x:c>
    </x:row>
    <x:row r="69">
      <x:c r="A69" s="16" t="str">
        <x:v>UAT-01</x:v>
      </x:c>
      <x:c r="B69" s="16" t="str">
        <x:v>Validate budget page with target users</x:v>
      </x:c>
      <x:c r="C69" s="16" t="str">
        <x:v>Given the PAULUS Validate budget page with target users task is implemented, the feature should meet the approved capstone requirements and pass review against its expected behavior.</x:v>
      </x:c>
      <x:c r="D69" s="18" t="n">
        <x:v>0.00175</x:v>
      </x:c>
      <x:c r="E69" s="16" t="str">
        <x:v>planning/backlog</x:v>
      </x:c>
      <x:c r="F69" s="17" t="b">
        <x:v>0</x:v>
      </x:c>
    </x:row>
    <x:row r="70">
      <x:c r="A70" s="16" t="str">
        <x:v>MS-01</x:v>
      </x:c>
      <x:c r="B70" s="16" t="str">
        <x:v>Document budget page module in Chapter 4</x:v>
      </x:c>
      <x:c r="C70" s="16" t="str">
        <x:v>Given the PAULUS Document budget page module in Chapter 4 task is implemented, the feature should meet the approved capstone requirements and pass review against its expected behavior.</x:v>
      </x:c>
      <x:c r="D70" s="18" t="n">
        <x:v>0.00175</x:v>
      </x:c>
      <x:c r="E70" s="16" t="str">
        <x:v>planning/backlog</x:v>
      </x:c>
      <x:c r="F70" s="17" t="b">
        <x:v>0</x:v>
      </x:c>
    </x:row>
    <x:row r="71">
      <x:c r="A71" s="26" t="str">
        <x:v>Total Accomplished</x:v>
      </x:c>
      <x:c r="B71" s="26" t="str"/>
      <x:c r="C71" s="26" t="str"/>
      <x:c r="D71" s="27" t="n">
        <x:f>SUM(D64:D70)</x:f>
        <x:v>0.01225</x:v>
      </x:c>
      <x:c r="E71" s="27" t="str"/>
      <x:c r="F71" s="27" t="n">
        <x:f>SUMIF(F64:F70, TRUE, D64:D70)</x:f>
        <x:v>0</x:v>
      </x:c>
    </x:row>
    <x:row r="73">
      <x:c r="A73" s="4" t="str">
        <x:v>Task ID</x:v>
      </x:c>
      <x:c r="B73" s="4" t="str">
        <x:v>EVENTS</x:v>
      </x:c>
      <x:c r="C73" s="4" t="str">
        <x:v>Task Name</x:v>
      </x:c>
      <x:c r="D73" s="4" t="str">
        <x:v>Events Page</x:v>
      </x:c>
      <x:c r="E73" s="4" t="str">
        <x:v>ClickUp Status</x:v>
      </x:c>
      <x:c r="F73" s="4" t="str">
        <x:v>planning/backlog</x:v>
      </x:c>
    </x:row>
    <x:row r="74">
      <x:c r="A74" s="8" t="str">
        <x:v>Subtask ID</x:v>
      </x:c>
      <x:c r="B74" s="8" t="str">
        <x:v>Subtask / Task Name</x:v>
      </x:c>
      <x:c r="C74" s="8" t="str">
        <x:v>Acceptance Criteria</x:v>
      </x:c>
      <x:c r="D74" s="8" t="str">
        <x:v>Weight Allocation</x:v>
      </x:c>
      <x:c r="E74" s="8" t="str">
        <x:v>ClickUp Status</x:v>
      </x:c>
      <x:c r="F74" s="8" t="str">
        <x:v>Accepted</x:v>
      </x:c>
    </x:row>
    <x:row r="75">
      <x:c r="A75" s="16" t="str">
        <x:v>REQ-01</x:v>
      </x:c>
      <x:c r="B75" s="16" t="str">
        <x:v>Define events page requirements</x:v>
      </x:c>
      <x:c r="C75" s="16" t="str">
        <x:v>Given the PAULUS Define events page requirements task is implemented, the feature should meet the approved capstone requirements and pass review against its expected behavior.</x:v>
      </x:c>
      <x:c r="D75" s="18" t="n">
        <x:v>0.00175</x:v>
      </x:c>
      <x:c r="E75" s="16" t="str">
        <x:v>planning/backlog</x:v>
      </x:c>
      <x:c r="F75" s="17" t="b">
        <x:v>0</x:v>
      </x:c>
    </x:row>
    <x:row r="76">
      <x:c r="A76" s="16" t="str">
        <x:v>DES-01</x:v>
      </x:c>
      <x:c r="B76" s="16" t="str">
        <x:v>Design events page interface and calendar workflow</x:v>
      </x:c>
      <x:c r="C76" s="16" t="str">
        <x:v>Given the PAULUS Design events page interface and calendar workflow task is implemented, the feature should meet the approved capstone requirements and pass review against its expected behavior.</x:v>
      </x:c>
      <x:c r="D76" s="18" t="n">
        <x:v>0.00175</x:v>
      </x:c>
      <x:c r="E76" s="16" t="str">
        <x:v>planning/backlog</x:v>
      </x:c>
      <x:c r="F76" s="17" t="b">
        <x:v>0</x:v>
      </x:c>
    </x:row>
    <x:row r="77">
      <x:c r="A77" s="16" t="str">
        <x:v>DEV-01</x:v>
      </x:c>
      <x:c r="B77" s="16" t="str">
        <x:v>Build events page interface</x:v>
      </x:c>
      <x:c r="C77" s="16" t="str">
        <x:v>Given the PAULUS Build events page interface task is implemented, the feature should meet the approved capstone requirements and pass review against its expected behavior.</x:v>
      </x:c>
      <x:c r="D77" s="18" t="n">
        <x:v>0.00175</x:v>
      </x:c>
      <x:c r="E77" s="16" t="str">
        <x:v>planning/backlog</x:v>
      </x:c>
      <x:c r="F77" s="17" t="b">
        <x:v>0</x:v>
      </x:c>
    </x:row>
    <x:row r="78">
      <x:c r="A78" s="16" t="str">
        <x:v>TEST-01</x:v>
      </x:c>
      <x:c r="B78" s="16" t="str">
        <x:v>Test event creation, editing, viewing, filtering, and validation</x:v>
      </x:c>
      <x:c r="C78" s="16" t="str">
        <x:v>Given the PAULUS Test event creation, editing, viewing, filtering, and validation task is implemented, the feature should meet the approved capstone requirements and pass review against its expected behavior.</x:v>
      </x:c>
      <x:c r="D78" s="18" t="n">
        <x:v>0.00175</x:v>
      </x:c>
      <x:c r="E78" s="16" t="str">
        <x:v>planning/backlog</x:v>
      </x:c>
      <x:c r="F78" s="17" t="b">
        <x:v>0</x:v>
      </x:c>
    </x:row>
    <x:row r="79">
      <x:c r="A79" s="16" t="str">
        <x:v>FIX-01</x:v>
      </x:c>
      <x:c r="B79" s="16" t="str">
        <x:v>Resolve events page issues</x:v>
      </x:c>
      <x:c r="C79" s="16" t="str">
        <x:v>Given the PAULUS Resolve events page issues task is implemented, the feature should meet the approved capstone requirements and pass review against its expected behavior.</x:v>
      </x:c>
      <x:c r="D79" s="18" t="n">
        <x:v>0.00175</x:v>
      </x:c>
      <x:c r="E79" s="16" t="str">
        <x:v>planning/backlog</x:v>
      </x:c>
      <x:c r="F79" s="17" t="b">
        <x:v>0</x:v>
      </x:c>
    </x:row>
    <x:row r="80">
      <x:c r="A80" s="16" t="str">
        <x:v>UAT-01</x:v>
      </x:c>
      <x:c r="B80" s="16" t="str">
        <x:v>Validate events page with target users</x:v>
      </x:c>
      <x:c r="C80" s="16" t="str">
        <x:v>Given the PAULUS Validate events page with target users task is implemented, the feature should meet the approved capstone requirements and pass review against its expected behavior.</x:v>
      </x:c>
      <x:c r="D80" s="18" t="n">
        <x:v>0.00175</x:v>
      </x:c>
      <x:c r="E80" s="16" t="str">
        <x:v>planning/backlog</x:v>
      </x:c>
      <x:c r="F80" s="17" t="b">
        <x:v>0</x:v>
      </x:c>
    </x:row>
    <x:row r="81">
      <x:c r="A81" s="16" t="str">
        <x:v>MS-01</x:v>
      </x:c>
      <x:c r="B81" s="16" t="str">
        <x:v>Document events page module in Chapter 4</x:v>
      </x:c>
      <x:c r="C81" s="16" t="str">
        <x:v>Given the PAULUS Document events page module in Chapter 4 task is implemented, the feature should meet the approved capstone requirements and pass review against its expected behavior.</x:v>
      </x:c>
      <x:c r="D81" s="18" t="n">
        <x:v>0.00175</x:v>
      </x:c>
      <x:c r="E81" s="16" t="str">
        <x:v>planning/backlog</x:v>
      </x:c>
      <x:c r="F81" s="17" t="b">
        <x:v>0</x:v>
      </x:c>
    </x:row>
    <x:row r="82">
      <x:c r="A82" s="26" t="str">
        <x:v>Total Accomplished</x:v>
      </x:c>
      <x:c r="B82" s="26" t="str"/>
      <x:c r="C82" s="26" t="str"/>
      <x:c r="D82" s="27" t="n">
        <x:f>SUM(D75:D81)</x:f>
        <x:v>0.01225</x:v>
      </x:c>
      <x:c r="E82" s="27" t="str"/>
      <x:c r="F82" s="27" t="n">
        <x:f>SUMIF(F75:F81, TRUE, D75:D81)</x:f>
        <x:v>0</x:v>
      </x:c>
    </x:row>
    <x:row r="84">
      <x:c r="A84" s="4" t="str">
        <x:v>Task ID</x:v>
      </x:c>
      <x:c r="B84" s="4" t="str">
        <x:v>REPORT</x:v>
      </x:c>
      <x:c r="C84" s="4" t="str">
        <x:v>Task Name</x:v>
      </x:c>
      <x:c r="D84" s="4" t="str">
        <x:v>Report Viewing and Export Interface</x:v>
      </x:c>
      <x:c r="E84" s="4" t="str">
        <x:v>ClickUp Status</x:v>
      </x:c>
      <x:c r="F84" s="4" t="str">
        <x:v>for qa / internal testing</x:v>
      </x:c>
    </x:row>
    <x:row r="85">
      <x:c r="A85" s="8" t="str">
        <x:v>Subtask ID</x:v>
      </x:c>
      <x:c r="B85" s="8" t="str">
        <x:v>Subtask / Task Name</x:v>
      </x:c>
      <x:c r="C85" s="8" t="str">
        <x:v>Acceptance Criteria</x:v>
      </x:c>
      <x:c r="D85" s="8" t="str">
        <x:v>Weight Allocation</x:v>
      </x:c>
      <x:c r="E85" s="8" t="str">
        <x:v>ClickUp Status</x:v>
      </x:c>
      <x:c r="F85" s="8" t="str">
        <x:v>Accepted</x:v>
      </x:c>
    </x:row>
    <x:row r="86">
      <x:c r="A86" s="16" t="str">
        <x:v>REQ-01</x:v>
      </x:c>
      <x:c r="B86" s="16" t="str">
        <x:v>Define report viewing and export requirements</x:v>
      </x:c>
      <x:c r="C86" s="16" t="str">
        <x:v>Given the PAULUS Define report viewing and export requirements task is implemented, the feature should meet the approved capstone requirements and pass review against its expected behavior.</x:v>
      </x:c>
      <x:c r="D86" s="18" t="n">
        <x:v>0.0013611111111111111</x:v>
      </x:c>
      <x:c r="E86" s="16" t="str">
        <x:v>planning/backlog</x:v>
      </x:c>
      <x:c r="F86" s="17" t="b">
        <x:v>0</x:v>
      </x:c>
    </x:row>
    <x:row r="87">
      <x:c r="A87" s="16" t="str">
        <x:v>DES-01</x:v>
      </x:c>
      <x:c r="B87" s="16" t="str">
        <x:v>Design report viewing interface</x:v>
      </x:c>
      <x:c r="C87" s="16" t="str">
        <x:v>Given the PAULUS Design report viewing interface task is implemented, the feature should meet the approved capstone requirements and pass review against its expected behavior.</x:v>
      </x:c>
      <x:c r="D87" s="18" t="n">
        <x:v>0.0013611111111111111</x:v>
      </x:c>
      <x:c r="E87" s="16" t="str">
        <x:v>planning/backlog</x:v>
      </x:c>
      <x:c r="F87" s="17" t="b">
        <x:v>0</x:v>
      </x:c>
    </x:row>
    <x:row r="88">
      <x:c r="A88" s="16" t="str">
        <x:v>DEV-01</x:v>
      </x:c>
      <x:c r="B88" s="16" t="str">
        <x:v>Build report list and viewing page</x:v>
      </x:c>
      <x:c r="C88" s="16" t="str">
        <x:v>Given the PAULUS Build report list and viewing page task is implemented, the feature should meet the approved capstone requirements and pass review against its expected behavior.</x:v>
      </x:c>
      <x:c r="D88" s="18" t="n">
        <x:v>0.0013611111111111111</x:v>
      </x:c>
      <x:c r="E88" s="16" t="str">
        <x:v>planning/backlog</x:v>
      </x:c>
      <x:c r="F88" s="17" t="b">
        <x:v>0</x:v>
      </x:c>
    </x:row>
    <x:row r="89">
      <x:c r="A89" s="16" t="str">
        <x:v>DEV-02</x:v>
      </x:c>
      <x:c r="B89" s="16" t="str">
        <x:v>Add report filters and search function</x:v>
      </x:c>
      <x:c r="C89" s="16" t="str">
        <x:v>Given the PAULUS Add report filters and search function task is implemented, the feature should meet the approved capstone requirements and pass review against its expected behavior.</x:v>
      </x:c>
      <x:c r="D89" s="18" t="n">
        <x:v>0.0013611111111111111</x:v>
      </x:c>
      <x:c r="E89" s="16" t="str">
        <x:v>planning/backlog</x:v>
      </x:c>
      <x:c r="F89" s="17" t="b">
        <x:v>0</x:v>
      </x:c>
    </x:row>
    <x:row r="90">
      <x:c r="A90" s="16" t="str">
        <x:v>DEV-03</x:v>
      </x:c>
      <x:c r="B90" s="16" t="str">
        <x:v>Add export button and download behavior</x:v>
      </x:c>
      <x:c r="C90" s="16" t="str">
        <x:v>Given the PAULUS Add export button and download behavior task is implemented, the feature should meet the approved capstone requirements and pass review against its expected behavior.</x:v>
      </x:c>
      <x:c r="D90" s="18" t="n">
        <x:v>0.0013611111111111111</x:v>
      </x:c>
      <x:c r="E90" s="16" t="str">
        <x:v>planning/backlog</x:v>
      </x:c>
      <x:c r="F90" s="17" t="b">
        <x:v>0</x:v>
      </x:c>
    </x:row>
    <x:row r="91">
      <x:c r="A91" s="16" t="str">
        <x:v>TEST-01</x:v>
      </x:c>
      <x:c r="B91" s="16" t="str">
        <x:v>Test report viewing and export behavior</x:v>
      </x:c>
      <x:c r="C91" s="16" t="str">
        <x:v>Given the PAULUS Test report viewing and export behavior task is implemented, the feature should meet the approved capstone requirements and pass review against its expected behavior.</x:v>
      </x:c>
      <x:c r="D91" s="18" t="n">
        <x:v>0.0013611111111111111</x:v>
      </x:c>
      <x:c r="E91" s="16" t="str">
        <x:v>planning/backlog</x:v>
      </x:c>
      <x:c r="F91" s="17" t="b">
        <x:v>0</x:v>
      </x:c>
    </x:row>
    <x:row r="92">
      <x:c r="A92" s="16" t="str">
        <x:v>FIX-01</x:v>
      </x:c>
      <x:c r="B92" s="16" t="str">
        <x:v>Resolve report display and export issues</x:v>
      </x:c>
      <x:c r="C92" s="16" t="str">
        <x:v>Given the PAULUS Resolve report display and export issues task is implemented, the feature should meet the approved capstone requirements and pass review against its expected behavior.</x:v>
      </x:c>
      <x:c r="D92" s="18" t="n">
        <x:v>0.0013611111111111111</x:v>
      </x:c>
      <x:c r="E92" s="16" t="str">
        <x:v>planning/backlog</x:v>
      </x:c>
      <x:c r="F92" s="17" t="b">
        <x:v>0</x:v>
      </x:c>
    </x:row>
    <x:row r="93">
      <x:c r="A93" s="16" t="str">
        <x:v>UAT-01</x:v>
      </x:c>
      <x:c r="B93" s="16" t="str">
        <x:v>Validate report viewing and export with target users</x:v>
      </x:c>
      <x:c r="C93" s="16" t="str">
        <x:v>Given the PAULUS Validate report viewing and export with target users task is implemented, the feature should meet the approved capstone requirements and pass review against its expected behavior.</x:v>
      </x:c>
      <x:c r="D93" s="18" t="n">
        <x:v>0.0013611111111111111</x:v>
      </x:c>
      <x:c r="E93" s="16" t="str">
        <x:v>planning/backlog</x:v>
      </x:c>
      <x:c r="F93" s="17" t="b">
        <x:v>0</x:v>
      </x:c>
    </x:row>
    <x:row r="94">
      <x:c r="A94" s="16" t="str">
        <x:v>MS-01</x:v>
      </x:c>
      <x:c r="B94" s="16" t="str">
        <x:v>Document report interface in Chapter 4</x:v>
      </x:c>
      <x:c r="C94" s="16" t="str">
        <x:v>Given the PAULUS Document report interface in Chapter 4 task is implemented, the feature should meet the approved capstone requirements and pass review against its expected behavior.</x:v>
      </x:c>
      <x:c r="D94" s="18" t="n">
        <x:v>0.0013611111111111111</x:v>
      </x:c>
      <x:c r="E94" s="16" t="str">
        <x:v>planning/backlog</x:v>
      </x:c>
      <x:c r="F94" s="17" t="b">
        <x:v>0</x:v>
      </x:c>
    </x:row>
    <x:row r="95">
      <x:c r="A95" s="26" t="str">
        <x:v>Total Accomplished</x:v>
      </x:c>
      <x:c r="B95" s="26" t="str"/>
      <x:c r="C95" s="26" t="str"/>
      <x:c r="D95" s="27" t="n">
        <x:f>SUM(D86:D94)</x:f>
        <x:v>0.012250000000000002</x:v>
      </x:c>
      <x:c r="E95" s="27" t="str"/>
      <x:c r="F95" s="27" t="n">
        <x:f>SUMIF(F86:F94, TRUE, D86:D94)</x:f>
        <x:v>0</x:v>
      </x:c>
    </x:row>
    <x:row r="97">
      <x:c r="A97" s="4" t="str">
        <x:v>Task ID</x:v>
      </x:c>
      <x:c r="B97" s="4" t="str">
        <x:v>GEO</x:v>
      </x:c>
      <x:c r="C97" s="4" t="str">
        <x:v>Task Name</x:v>
      </x:c>
      <x:c r="D97" s="4" t="str">
        <x:v>Geospatial Institution Map</x:v>
      </x:c>
      <x:c r="E97" s="4" t="str">
        <x:v>ClickUp Status</x:v>
      </x:c>
      <x:c r="F97" s="4" t="str">
        <x:v>for qa / internal testing</x:v>
      </x:c>
    </x:row>
    <x:row r="98">
      <x:c r="A98" s="8" t="str">
        <x:v>Subtask ID</x:v>
      </x:c>
      <x:c r="B98" s="8" t="str">
        <x:v>Subtask / Task Name</x:v>
      </x:c>
      <x:c r="C98" s="8" t="str">
        <x:v>Acceptance Criteria</x:v>
      </x:c>
      <x:c r="D98" s="8" t="str">
        <x:v>Weight Allocation</x:v>
      </x:c>
      <x:c r="E98" s="8" t="str">
        <x:v>ClickUp Status</x:v>
      </x:c>
      <x:c r="F98" s="8" t="str">
        <x:v>Accepted</x:v>
      </x:c>
    </x:row>
    <x:row r="99">
      <x:c r="A99" s="16" t="str">
        <x:v>REQ-01</x:v>
      </x:c>
      <x:c r="B99" s="16" t="str">
        <x:v>Define geospatial institution map requirements</x:v>
      </x:c>
      <x:c r="C99" s="16" t="str">
        <x:v>Given the PAULUS Define geospatial institution map requirements task is implemented, the feature should meet the approved capstone requirements and pass review against its expected behavior.</x:v>
      </x:c>
      <x:c r="D99" s="18" t="n">
        <x:v>0.0013611111111111111</x:v>
      </x:c>
      <x:c r="E99" s="16" t="str">
        <x:v>planning/backlog</x:v>
      </x:c>
      <x:c r="F99" s="17" t="b">
        <x:v>0</x:v>
      </x:c>
    </x:row>
    <x:row r="100">
      <x:c r="A100" s="16" t="str">
        <x:v>DES-01</x:v>
      </x:c>
      <x:c r="B100" s="16" t="str">
        <x:v>Design geospatial map interface</x:v>
      </x:c>
      <x:c r="C100" s="16" t="str">
        <x:v>Given the PAULUS Design geospatial map interface task is implemented, the feature should meet the approved capstone requirements and pass review against its expected behavior.</x:v>
      </x:c>
      <x:c r="D100" s="18" t="n">
        <x:v>0.0013611111111111111</x:v>
      </x:c>
      <x:c r="E100" s="16" t="str">
        <x:v>planning/backlog</x:v>
      </x:c>
      <x:c r="F100" s="17" t="b">
        <x:v>0</x:v>
      </x:c>
    </x:row>
    <x:row r="101">
      <x:c r="A101" s="16" t="str">
        <x:v>DEV-01</x:v>
      </x:c>
      <x:c r="B101" s="16" t="str">
        <x:v>Build geospatial institution map layout</x:v>
      </x:c>
      <x:c r="C101" s="16" t="str">
        <x:v>Given the PAULUS Build geospatial institution map layout task is implemented, the feature should meet the approved capstone requirements and pass review against its expected behavior.</x:v>
      </x:c>
      <x:c r="D101" s="18" t="n">
        <x:v>0.0013611111111111111</x:v>
      </x:c>
      <x:c r="E101" s="16" t="str">
        <x:v>planning/backlog</x:v>
      </x:c>
      <x:c r="F101" s="17" t="b">
        <x:v>0</x:v>
      </x:c>
    </x:row>
    <x:row r="102">
      <x:c r="A102" s="16" t="str">
        <x:v>DEV-02</x:v>
      </x:c>
      <x:c r="B102" s="16" t="str">
        <x:v>Add institution markers and filters</x:v>
      </x:c>
      <x:c r="C102" s="16" t="str">
        <x:v>Given the PAULUS Add institution markers and filters task is implemented, the feature should meet the approved capstone requirements and pass review against its expected behavior.</x:v>
      </x:c>
      <x:c r="D102" s="18" t="n">
        <x:v>0.0013611111111111111</x:v>
      </x:c>
      <x:c r="E102" s="16" t="str">
        <x:v>planning/backlog</x:v>
      </x:c>
      <x:c r="F102" s="17" t="b">
        <x:v>0</x:v>
      </x:c>
    </x:row>
    <x:row r="103">
      <x:c r="A103" s="16" t="str">
        <x:v>DEV-03</x:v>
      </x:c>
      <x:c r="B103" s="16" t="str">
        <x:v>Connect geospatial map to institution data</x:v>
      </x:c>
      <x:c r="C103" s="16" t="str">
        <x:v>Given the PAULUS Connect geospatial map to institution data task is implemented, the feature should meet the approved capstone requirements and pass review against its expected behavior.</x:v>
      </x:c>
      <x:c r="D103" s="18" t="n">
        <x:v>0.0013611111111111111</x:v>
      </x:c>
      <x:c r="E103" s="16" t="str">
        <x:v>planning/backlog</x:v>
      </x:c>
      <x:c r="F103" s="17" t="b">
        <x:v>0</x:v>
      </x:c>
    </x:row>
    <x:row r="104">
      <x:c r="A104" s="16" t="str">
        <x:v>TEST-01</x:v>
      </x:c>
      <x:c r="B104" s="16" t="str">
        <x:v>Test map display and filters</x:v>
      </x:c>
      <x:c r="C104" s="16" t="str">
        <x:v>Given the PAULUS Test map display and filters task is implemented, the feature should meet the approved capstone requirements and pass review against its expected behavior.</x:v>
      </x:c>
      <x:c r="D104" s="18" t="n">
        <x:v>0.0013611111111111111</x:v>
      </x:c>
      <x:c r="E104" s="16" t="str">
        <x:v>planning/backlog</x:v>
      </x:c>
      <x:c r="F104" s="17" t="b">
        <x:v>0</x:v>
      </x:c>
    </x:row>
    <x:row r="105">
      <x:c r="A105" s="16" t="str">
        <x:v>FIX-01</x:v>
      </x:c>
      <x:c r="B105" s="16" t="str">
        <x:v>Resolve geospatial map issues</x:v>
      </x:c>
      <x:c r="C105" s="16" t="str">
        <x:v>Given the PAULUS Resolve geospatial map issues task is implemented, the feature should meet the approved capstone requirements and pass review against its expected behavior.</x:v>
      </x:c>
      <x:c r="D105" s="18" t="n">
        <x:v>0.0013611111111111111</x:v>
      </x:c>
      <x:c r="E105" s="16" t="str">
        <x:v>planning/backlog</x:v>
      </x:c>
      <x:c r="F105" s="17" t="b">
        <x:v>0</x:v>
      </x:c>
    </x:row>
    <x:row r="106">
      <x:c r="A106" s="16" t="str">
        <x:v>UAT-01</x:v>
      </x:c>
      <x:c r="B106" s="16" t="str">
        <x:v>Validate geospatial map with target users</x:v>
      </x:c>
      <x:c r="C106" s="16" t="str">
        <x:v>Given the PAULUS Validate geospatial map with target users task is implemented, the feature should meet the approved capstone requirements and pass review against its expected behavior.</x:v>
      </x:c>
      <x:c r="D106" s="18" t="n">
        <x:v>0.0013611111111111111</x:v>
      </x:c>
      <x:c r="E106" s="16" t="str">
        <x:v>planning/backlog</x:v>
      </x:c>
      <x:c r="F106" s="17" t="b">
        <x:v>0</x:v>
      </x:c>
    </x:row>
    <x:row r="107">
      <x:c r="A107" s="16" t="str">
        <x:v>MS-01</x:v>
      </x:c>
      <x:c r="B107" s="16" t="str">
        <x:v>Document geospatial map interface in Chapter 4</x:v>
      </x:c>
      <x:c r="C107" s="16" t="str">
        <x:v>Given the PAULUS Document geospatial map interface in Chapter 4 task is implemented, the feature should meet the approved capstone requirements and pass review against its expected behavior.</x:v>
      </x:c>
      <x:c r="D107" s="18" t="n">
        <x:v>0.0013611111111111111</x:v>
      </x:c>
      <x:c r="E107" s="16" t="str">
        <x:v>planning/backlog</x:v>
      </x:c>
      <x:c r="F107" s="17" t="b">
        <x:v>0</x:v>
      </x:c>
    </x:row>
    <x:row r="108">
      <x:c r="A108" s="26" t="str">
        <x:v>Total Accomplished</x:v>
      </x:c>
      <x:c r="B108" s="26" t="str"/>
      <x:c r="C108" s="26" t="str"/>
      <x:c r="D108" s="27" t="n">
        <x:f>SUM(D99:D107)</x:f>
        <x:v>0.012250000000000002</x:v>
      </x:c>
      <x:c r="E108" s="27" t="str"/>
      <x:c r="F108" s="27" t="n">
        <x:f>SUMIF(F99:F107, TRUE, D99:D107)</x:f>
        <x:v>0</x:v>
      </x:c>
    </x:row>
    <x:row r="110">
      <x:c r="A110" s="4" t="str">
        <x:v>Task ID</x:v>
      </x:c>
      <x:c r="B110" s="4" t="str">
        <x:v>PRST</x:v>
      </x:c>
      <x:c r="C110" s="4" t="str">
        <x:v>Task Name</x:v>
      </x:c>
      <x:c r="D110" s="4" t="str">
        <x:v>Priest Health Tracker Interface</x:v>
      </x:c>
      <x:c r="E110" s="4" t="str">
        <x:v>ClickUp Status</x:v>
      </x:c>
      <x:c r="F110" s="4" t="str">
        <x:v>for qa / internal testing</x:v>
      </x:c>
    </x:row>
    <x:row r="111">
      <x:c r="A111" s="8" t="str">
        <x:v>Subtask ID</x:v>
      </x:c>
      <x:c r="B111" s="8" t="str">
        <x:v>Subtask / Task Name</x:v>
      </x:c>
      <x:c r="C111" s="8" t="str">
        <x:v>Acceptance Criteria</x:v>
      </x:c>
      <x:c r="D111" s="8" t="str">
        <x:v>Weight Allocation</x:v>
      </x:c>
      <x:c r="E111" s="8" t="str">
        <x:v>ClickUp Status</x:v>
      </x:c>
      <x:c r="F111" s="8" t="str">
        <x:v>Accepted</x:v>
      </x:c>
    </x:row>
    <x:row r="112">
      <x:c r="A112" s="16" t="str">
        <x:v>REQ-01</x:v>
      </x:c>
      <x:c r="B112" s="16" t="str">
        <x:v>Define priest health tracker requirements</x:v>
      </x:c>
      <x:c r="C112" s="16" t="str">
        <x:v>Given the PAULUS Define priest health tracker requirements task is implemented, the feature should meet the approved capstone requirements and pass review against its expected behavior.</x:v>
      </x:c>
      <x:c r="D112" s="18" t="n">
        <x:v>0.0013611111111111111</x:v>
      </x:c>
      <x:c r="E112" s="16" t="str">
        <x:v>planning/backlog</x:v>
      </x:c>
      <x:c r="F112" s="17" t="b">
        <x:v>0</x:v>
      </x:c>
    </x:row>
    <x:row r="113">
      <x:c r="A113" s="16" t="str">
        <x:v>DES-01</x:v>
      </x:c>
      <x:c r="B113" s="16" t="str">
        <x:v>Design priest health tracker interface</x:v>
      </x:c>
      <x:c r="C113" s="16" t="str">
        <x:v>Given the PAULUS Design priest health tracker interface task is implemented, the feature should meet the approved capstone requirements and pass review against its expected behavior.</x:v>
      </x:c>
      <x:c r="D113" s="18" t="n">
        <x:v>0.0013611111111111111</x:v>
      </x:c>
      <x:c r="E113" s="16" t="str">
        <x:v>planning/backlog</x:v>
      </x:c>
      <x:c r="F113" s="17" t="b">
        <x:v>0</x:v>
      </x:c>
    </x:row>
    <x:row r="114">
      <x:c r="A114" s="16" t="str">
        <x:v>DEV-01</x:v>
      </x:c>
      <x:c r="B114" s="16" t="str">
        <x:v>Build priest health profile page</x:v>
      </x:c>
      <x:c r="C114" s="16" t="str">
        <x:v>Given the PAULUS Build priest health profile page task is implemented, the feature should meet the approved capstone requirements and pass review against its expected behavior.</x:v>
      </x:c>
      <x:c r="D114" s="18" t="n">
        <x:v>0.0013611111111111111</x:v>
      </x:c>
      <x:c r="E114" s="16" t="str">
        <x:v>planning/backlog</x:v>
      </x:c>
      <x:c r="F114" s="17" t="b">
        <x:v>0</x:v>
      </x:c>
    </x:row>
    <x:row r="115">
      <x:c r="A115" s="16" t="str">
        <x:v>DEV-02</x:v>
      </x:c>
      <x:c r="B115" s="16" t="str">
        <x:v>Build health record entry and update flow</x:v>
      </x:c>
      <x:c r="C115" s="16" t="str">
        <x:v>Given the PAULUS Build health record entry and update flow task is implemented, the feature should meet the approved capstone requirements and pass review against its expected behavior.</x:v>
      </x:c>
      <x:c r="D115" s="18" t="n">
        <x:v>0.0013611111111111111</x:v>
      </x:c>
      <x:c r="E115" s="16" t="str">
        <x:v>planning/backlog</x:v>
      </x:c>
      <x:c r="F115" s="17" t="b">
        <x:v>0</x:v>
      </x:c>
    </x:row>
    <x:row r="116">
      <x:c r="A116" s="16" t="str">
        <x:v>DEV-03</x:v>
      </x:c>
      <x:c r="B116" s="16" t="str">
        <x:v>Connect priest health tracker to backend API</x:v>
      </x:c>
      <x:c r="C116" s="16" t="str">
        <x:v>Given the PAULUS Connect priest health tracker to backend API task is implemented, the feature should meet the approved capstone requirements and pass review against its expected behavior.</x:v>
      </x:c>
      <x:c r="D116" s="18" t="n">
        <x:v>0.0013611111111111111</x:v>
      </x:c>
      <x:c r="E116" s="16" t="str">
        <x:v>planning/backlog</x:v>
      </x:c>
      <x:c r="F116" s="17" t="b">
        <x:v>0</x:v>
      </x:c>
    </x:row>
    <x:row r="117">
      <x:c r="A117" s="16" t="str">
        <x:v>TEST-01</x:v>
      </x:c>
      <x:c r="B117" s="16" t="str">
        <x:v>Test priest health tracker workflows</x:v>
      </x:c>
      <x:c r="C117" s="16" t="str">
        <x:v>Given the PAULUS Test priest health tracker workflows task is implemented, the feature should meet the approved capstone requirements and pass review against its expected behavior.</x:v>
      </x:c>
      <x:c r="D117" s="18" t="n">
        <x:v>0.0013611111111111111</x:v>
      </x:c>
      <x:c r="E117" s="16" t="str">
        <x:v>planning/backlog</x:v>
      </x:c>
      <x:c r="F117" s="17" t="b">
        <x:v>0</x:v>
      </x:c>
    </x:row>
    <x:row r="118">
      <x:c r="A118" s="16" t="str">
        <x:v>FIX-01</x:v>
      </x:c>
      <x:c r="B118" s="16" t="str">
        <x:v>Resolve priest health tracker issues</x:v>
      </x:c>
      <x:c r="C118" s="16" t="str">
        <x:v>Given the PAULUS Resolve priest health tracker issues task is implemented, the feature should meet the approved capstone requirements and pass review against its expected behavior.</x:v>
      </x:c>
      <x:c r="D118" s="18" t="n">
        <x:v>0.0013611111111111111</x:v>
      </x:c>
      <x:c r="E118" s="16" t="str">
        <x:v>planning/backlog</x:v>
      </x:c>
      <x:c r="F118" s="17" t="b">
        <x:v>0</x:v>
      </x:c>
    </x:row>
    <x:row r="119">
      <x:c r="A119" s="16" t="str">
        <x:v>UAT-01</x:v>
      </x:c>
      <x:c r="B119" s="16" t="str">
        <x:v>Validate priest health tracker with target users</x:v>
      </x:c>
      <x:c r="C119" s="16" t="str">
        <x:v>Given the PAULUS Validate priest health tracker with target users task is implemented, the feature should meet the approved capstone requirements and pass review against its expected behavior.</x:v>
      </x:c>
      <x:c r="D119" s="18" t="n">
        <x:v>0.0013611111111111111</x:v>
      </x:c>
      <x:c r="E119" s="16" t="str">
        <x:v>planning/backlog</x:v>
      </x:c>
      <x:c r="F119" s="17" t="b">
        <x:v>0</x:v>
      </x:c>
    </x:row>
    <x:row r="120">
      <x:c r="A120" s="16" t="str">
        <x:v>MS-01</x:v>
      </x:c>
      <x:c r="B120" s="16" t="str">
        <x:v>Document priest health tracker in Chapter 4</x:v>
      </x:c>
      <x:c r="C120" s="16" t="str">
        <x:v>Given the PAULUS Document priest health tracker in Chapter 4 task is implemented, the feature should meet the approved capstone requirements and pass review against its expected behavior.</x:v>
      </x:c>
      <x:c r="D120" s="18" t="n">
        <x:v>0.0013611111111111111</x:v>
      </x:c>
      <x:c r="E120" s="16" t="str">
        <x:v>planning/backlog</x:v>
      </x:c>
      <x:c r="F120" s="17" t="b">
        <x:v>0</x:v>
      </x:c>
    </x:row>
    <x:row r="121">
      <x:c r="A121" s="26" t="str">
        <x:v>Total Accomplished</x:v>
      </x:c>
      <x:c r="B121" s="26" t="str"/>
      <x:c r="C121" s="26" t="str"/>
      <x:c r="D121" s="27" t="n">
        <x:f>SUM(D112:D120)</x:f>
        <x:v>0.012250000000000002</x:v>
      </x:c>
      <x:c r="E121" s="27" t="str"/>
      <x:c r="F121" s="27" t="n">
        <x:f>SUMIF(F112:F120, TRUE, D112:D120)</x:f>
        <x:v>0</x:v>
      </x:c>
    </x:row>
    <x:row r="123">
      <x:c r="A123" s="4" t="str">
        <x:v>Task ID</x:v>
      </x:c>
      <x:c r="B123" s="4" t="str">
        <x:v>PROJ</x:v>
      </x:c>
      <x:c r="C123" s="4" t="str">
        <x:v>Task Name</x:v>
      </x:c>
      <x:c r="D123" s="4" t="str">
        <x:v>Projects and Donations Interface</x:v>
      </x:c>
      <x:c r="E123" s="4" t="str">
        <x:v>ClickUp Status</x:v>
      </x:c>
      <x:c r="F123" s="4" t="str">
        <x:v>for qa / internal testing</x:v>
      </x:c>
    </x:row>
    <x:row r="124">
      <x:c r="A124" s="8" t="str">
        <x:v>Subtask ID</x:v>
      </x:c>
      <x:c r="B124" s="8" t="str">
        <x:v>Subtask / Task Name</x:v>
      </x:c>
      <x:c r="C124" s="8" t="str">
        <x:v>Acceptance Criteria</x:v>
      </x:c>
      <x:c r="D124" s="8" t="str">
        <x:v>Weight Allocation</x:v>
      </x:c>
      <x:c r="E124" s="8" t="str">
        <x:v>ClickUp Status</x:v>
      </x:c>
      <x:c r="F124" s="8" t="str">
        <x:v>Accepted</x:v>
      </x:c>
    </x:row>
    <x:row r="125">
      <x:c r="A125" s="16" t="str">
        <x:v>REQ-01</x:v>
      </x:c>
      <x:c r="B125" s="16" t="str">
        <x:v>Define projects and donations page requirements</x:v>
      </x:c>
      <x:c r="C125" s="16" t="str">
        <x:v>Given the PAULUS Define projects and donations page requirements task is implemented, the feature should meet the approved capstone requirements and pass review against its expected behavior.</x:v>
      </x:c>
      <x:c r="D125" s="18" t="n">
        <x:v>0.00175</x:v>
      </x:c>
      <x:c r="E125" s="16" t="str">
        <x:v>standardized subtask - URL pending</x:v>
      </x:c>
      <x:c r="F125" s="17" t="b">
        <x:v>0</x:v>
      </x:c>
    </x:row>
    <x:row r="126">
      <x:c r="A126" s="16" t="str">
        <x:v>DES-01</x:v>
      </x:c>
      <x:c r="B126" s="16" t="str">
        <x:v>Design projects and donations interface workflow</x:v>
      </x:c>
      <x:c r="C126" s="16" t="str">
        <x:v>Given the PAULUS Design projects and donations interface workflow task is implemented, the feature should meet the approved capstone requirements and pass review against its expected behavior.</x:v>
      </x:c>
      <x:c r="D126" s="18" t="n">
        <x:v>0.00175</x:v>
      </x:c>
      <x:c r="E126" s="16" t="str">
        <x:v>standardized subtask - URL pending</x:v>
      </x:c>
      <x:c r="F126" s="17" t="b">
        <x:v>0</x:v>
      </x:c>
    </x:row>
    <x:row r="127">
      <x:c r="A127" s="16" t="str">
        <x:v>DEV-01</x:v>
      </x:c>
      <x:c r="B127" s="16" t="str">
        <x:v>Build projects and donations page interface</x:v>
      </x:c>
      <x:c r="C127" s="16" t="str">
        <x:v>Given the PAULUS Build projects and donations page interface task is implemented, the feature should meet the approved capstone requirements and pass review against its expected behavior.</x:v>
      </x:c>
      <x:c r="D127" s="18" t="n">
        <x:v>0.00175</x:v>
      </x:c>
      <x:c r="E127" s="16" t="str">
        <x:v>standardized subtask - URL pending</x:v>
      </x:c>
      <x:c r="F127" s="17" t="b">
        <x:v>0</x:v>
      </x:c>
    </x:row>
    <x:row r="128">
      <x:c r="A128" s="16" t="str">
        <x:v>TEST-01</x:v>
      </x:c>
      <x:c r="B128" s="16" t="str">
        <x:v>Test project listing, detail, donation display, and validation behavior</x:v>
      </x:c>
      <x:c r="C128" s="16" t="str">
        <x:v>Given the PAULUS Test project listing, detail, donation display, and validation behavior task is implemented, the feature should meet the approved capstone requirements and pass review against its expected behavior.</x:v>
      </x:c>
      <x:c r="D128" s="18" t="n">
        <x:v>0.00175</x:v>
      </x:c>
      <x:c r="E128" s="16" t="str">
        <x:v>standardized subtask - URL pending</x:v>
      </x:c>
      <x:c r="F128" s="17" t="b">
        <x:v>0</x:v>
      </x:c>
    </x:row>
    <x:row r="129">
      <x:c r="A129" s="16" t="str">
        <x:v>FIX-01</x:v>
      </x:c>
      <x:c r="B129" s="16" t="str">
        <x:v>Resolve projects and donations page issues</x:v>
      </x:c>
      <x:c r="C129" s="16" t="str">
        <x:v>Given the PAULUS Resolve projects and donations page issues task is implemented, the feature should meet the approved capstone requirements and pass review against its expected behavior.</x:v>
      </x:c>
      <x:c r="D129" s="18" t="n">
        <x:v>0.00175</x:v>
      </x:c>
      <x:c r="E129" s="16" t="str">
        <x:v>standardized subtask - URL pending</x:v>
      </x:c>
      <x:c r="F129" s="17" t="b">
        <x:v>0</x:v>
      </x:c>
    </x:row>
    <x:row r="130">
      <x:c r="A130" s="16" t="str">
        <x:v>UAT-01</x:v>
      </x:c>
      <x:c r="B130" s="16" t="str">
        <x:v>Validate projects and donations page with target users</x:v>
      </x:c>
      <x:c r="C130" s="16" t="str">
        <x:v>Given the PAULUS Validate projects and donations page with target users task is implemented, the feature should meet the approved capstone requirements and pass review against its expected behavior.</x:v>
      </x:c>
      <x:c r="D130" s="18" t="n">
        <x:v>0.00175</x:v>
      </x:c>
      <x:c r="E130" s="16" t="str">
        <x:v>standardized subtask - URL pending</x:v>
      </x:c>
      <x:c r="F130" s="17" t="b">
        <x:v>0</x:v>
      </x:c>
    </x:row>
    <x:row r="131">
      <x:c r="A131" s="16" t="str">
        <x:v>MS-01</x:v>
      </x:c>
      <x:c r="B131" s="16" t="str">
        <x:v>Document projects and donations module in Chapter 4</x:v>
      </x:c>
      <x:c r="C131" s="16" t="str">
        <x:v>Given the PAULUS Document projects and donations module in Chapter 4 task is implemented, the feature should meet the approved capstone requirements and pass review against its expected behavior.</x:v>
      </x:c>
      <x:c r="D131" s="18" t="n">
        <x:v>0.00175</x:v>
      </x:c>
      <x:c r="E131" s="16" t="str">
        <x:v>standardized subtask - URL pending</x:v>
      </x:c>
      <x:c r="F131" s="17" t="b">
        <x:v>0</x:v>
      </x:c>
    </x:row>
    <x:row r="132">
      <x:c r="A132" s="26" t="str">
        <x:v>Total Accomplished</x:v>
      </x:c>
      <x:c r="B132" s="26" t="str"/>
      <x:c r="C132" s="26" t="str"/>
      <x:c r="D132" s="27" t="n">
        <x:f>SUM(D125:D131)</x:f>
        <x:v>0.01225</x:v>
      </x:c>
      <x:c r="E132" s="27" t="str"/>
      <x:c r="F132" s="27" t="n">
        <x:f>SUMIF(F125:F131, TRUE, D125:D131)</x:f>
        <x:v>0</x:v>
      </x:c>
    </x:row>
    <x:row r="134">
      <x:c r="A134" s="4" t="str">
        <x:v>Task ID</x:v>
      </x:c>
      <x:c r="B134" s="4" t="str">
        <x:v>CHAT</x:v>
      </x:c>
      <x:c r="C134" s="4" t="str">
        <x:v>Task Name</x:v>
      </x:c>
      <x:c r="D134" s="4" t="str">
        <x:v>AI Chatbot Interface</x:v>
      </x:c>
      <x:c r="E134" s="4" t="str">
        <x:v>ClickUp Status</x:v>
      </x:c>
      <x:c r="F134" s="4" t="str">
        <x:v>for qa / internal testing</x:v>
      </x:c>
    </x:row>
    <x:row r="135">
      <x:c r="A135" s="8" t="str">
        <x:v>Subtask ID</x:v>
      </x:c>
      <x:c r="B135" s="8" t="str">
        <x:v>Subtask / Task Name</x:v>
      </x:c>
      <x:c r="C135" s="8" t="str">
        <x:v>Acceptance Criteria</x:v>
      </x:c>
      <x:c r="D135" s="8" t="str">
        <x:v>Weight Allocation</x:v>
      </x:c>
      <x:c r="E135" s="8" t="str">
        <x:v>ClickUp Status</x:v>
      </x:c>
      <x:c r="F135" s="8" t="str">
        <x:v>Accepted</x:v>
      </x:c>
    </x:row>
    <x:row r="136">
      <x:c r="A136" s="16" t="str">
        <x:v>REQ-01</x:v>
      </x:c>
      <x:c r="B136" s="16" t="str">
        <x:v>Define AI chatbot interface requirements</x:v>
      </x:c>
      <x:c r="C136" s="16" t="str">
        <x:v>Given the PAULUS Define AI chatbot interface requirements task is implemented, the feature should meet the approved capstone requirements and pass review against its expected behavior.</x:v>
      </x:c>
      <x:c r="D136" s="18" t="n">
        <x:v>0.0013611111111111111</x:v>
      </x:c>
      <x:c r="E136" s="16" t="str">
        <x:v>planning/backlog</x:v>
      </x:c>
      <x:c r="F136" s="17" t="b">
        <x:v>0</x:v>
      </x:c>
    </x:row>
    <x:row r="137">
      <x:c r="A137" s="16" t="str">
        <x:v>DES-01</x:v>
      </x:c>
      <x:c r="B137" s="16" t="str">
        <x:v>Design chatbot widget and conversation layout</x:v>
      </x:c>
      <x:c r="C137" s="16" t="str">
        <x:v>Given the PAULUS Design chatbot widget and conversation layout task is implemented, the feature should meet the approved capstone requirements and pass review against its expected behavior.</x:v>
      </x:c>
      <x:c r="D137" s="18" t="n">
        <x:v>0.0013611111111111111</x:v>
      </x:c>
      <x:c r="E137" s="16" t="str">
        <x:v>planning/backlog</x:v>
      </x:c>
      <x:c r="F137" s="17" t="b">
        <x:v>0</x:v>
      </x:c>
    </x:row>
    <x:row r="138">
      <x:c r="A138" s="16" t="str">
        <x:v>DEV-01</x:v>
      </x:c>
      <x:c r="B138" s="16" t="str">
        <x:v>Build chatbot UI component</x:v>
      </x:c>
      <x:c r="C138" s="16" t="str">
        <x:v>Given the PAULUS Build chatbot UI component task is implemented, the feature should meet the approved capstone requirements and pass review against its expected behavior.</x:v>
      </x:c>
      <x:c r="D138" s="18" t="n">
        <x:v>0.0013611111111111111</x:v>
      </x:c>
      <x:c r="E138" s="16" t="str">
        <x:v>planning/backlog</x:v>
      </x:c>
      <x:c r="F138" s="17" t="b">
        <x:v>0</x:v>
      </x:c>
    </x:row>
    <x:row r="139">
      <x:c r="A139" s="16" t="str">
        <x:v>DEV-02</x:v>
      </x:c>
      <x:c r="B139" s="16" t="str">
        <x:v>Connect chatbot to AI response API</x:v>
      </x:c>
      <x:c r="C139" s="16" t="str">
        <x:v>Given the PAULUS Connect chatbot to AI response API task is implemented, the feature should meet the approved capstone requirements and pass review against its expected behavior.</x:v>
      </x:c>
      <x:c r="D139" s="18" t="n">
        <x:v>0.0013611111111111111</x:v>
      </x:c>
      <x:c r="E139" s="16" t="str">
        <x:v>planning/backlog</x:v>
      </x:c>
      <x:c r="F139" s="17" t="b">
        <x:v>0</x:v>
      </x:c>
    </x:row>
    <x:row r="140">
      <x:c r="A140" s="16" t="str">
        <x:v>DEV-03</x:v>
      </x:c>
      <x:c r="B140" s="16" t="str">
        <x:v>Add financial context and health score integration</x:v>
      </x:c>
      <x:c r="C140" s="16" t="str">
        <x:v>Given the PAULUS Add financial context and health score integration task is implemented, the feature should meet the approved capstone requirements and pass review against its expected behavior.</x:v>
      </x:c>
      <x:c r="D140" s="18" t="n">
        <x:v>0.0013611111111111111</x:v>
      </x:c>
      <x:c r="E140" s="16" t="str">
        <x:v>planning/backlog</x:v>
      </x:c>
      <x:c r="F140" s="17" t="b">
        <x:v>0</x:v>
      </x:c>
    </x:row>
    <x:row r="141">
      <x:c r="A141" s="16" t="str">
        <x:v>TEST-01</x:v>
      </x:c>
      <x:c r="B141" s="16" t="str">
        <x:v>Test chatbot responses and financial context accuracy</x:v>
      </x:c>
      <x:c r="C141" s="16" t="str">
        <x:v>Given the PAULUS Test chatbot responses and financial context accuracy task is implemented, the feature should meet the approved capstone requirements and pass review against its expected behavior.</x:v>
      </x:c>
      <x:c r="D141" s="18" t="n">
        <x:v>0.0013611111111111111</x:v>
      </x:c>
      <x:c r="E141" s="16" t="str">
        <x:v>planning/backlog</x:v>
      </x:c>
      <x:c r="F141" s="17" t="b">
        <x:v>0</x:v>
      </x:c>
    </x:row>
    <x:row r="142">
      <x:c r="A142" s="16" t="str">
        <x:v>FIX-01</x:v>
      </x:c>
      <x:c r="B142" s="16" t="str">
        <x:v>Resolve chatbot interface and response issues</x:v>
      </x:c>
      <x:c r="C142" s="16" t="str">
        <x:v>Given the PAULUS Resolve chatbot interface and response issues task is implemented, the feature should meet the approved capstone requirements and pass review against its expected behavior.</x:v>
      </x:c>
      <x:c r="D142" s="18" t="n">
        <x:v>0.0013611111111111111</x:v>
      </x:c>
      <x:c r="E142" s="16" t="str">
        <x:v>planning/backlog</x:v>
      </x:c>
      <x:c r="F142" s="17" t="b">
        <x:v>0</x:v>
      </x:c>
    </x:row>
    <x:row r="143">
      <x:c r="A143" s="16" t="str">
        <x:v>UAT-01</x:v>
      </x:c>
      <x:c r="B143" s="16" t="str">
        <x:v>Validate chatbot usefulness with target users</x:v>
      </x:c>
      <x:c r="C143" s="16" t="str">
        <x:v>Given the PAULUS Validate chatbot usefulness with target users task is implemented, the feature should meet the approved capstone requirements and pass review against its expected behavior.</x:v>
      </x:c>
      <x:c r="D143" s="18" t="n">
        <x:v>0.0013611111111111111</x:v>
      </x:c>
      <x:c r="E143" s="16" t="str">
        <x:v>planning/backlog</x:v>
      </x:c>
      <x:c r="F143" s="17" t="b">
        <x:v>0</x:v>
      </x:c>
    </x:row>
    <x:row r="144">
      <x:c r="A144" s="16" t="str">
        <x:v>MS-01</x:v>
      </x:c>
      <x:c r="B144" s="16" t="str">
        <x:v>Document AI chatbot interface in Chapter 4</x:v>
      </x:c>
      <x:c r="C144" s="16" t="str">
        <x:v>Given the PAULUS Document AI chatbot interface in Chapter 4 task is implemented, the feature should meet the approved capstone requirements and pass review against its expected behavior.</x:v>
      </x:c>
      <x:c r="D144" s="18" t="n">
        <x:v>0.0013611111111111111</x:v>
      </x:c>
      <x:c r="E144" s="16" t="str">
        <x:v>planning/backlog</x:v>
      </x:c>
      <x:c r="F144" s="17" t="b">
        <x:v>0</x:v>
      </x:c>
    </x:row>
    <x:row r="145">
      <x:c r="A145" s="26" t="str">
        <x:v>Total Accomplished</x:v>
      </x:c>
      <x:c r="B145" s="26" t="str"/>
      <x:c r="C145" s="26" t="str"/>
      <x:c r="D145" s="27" t="n">
        <x:f>SUM(D136:D144)</x:f>
        <x:v>0.012250000000000002</x:v>
      </x:c>
      <x:c r="E145" s="27" t="str"/>
      <x:c r="F145" s="27" t="n">
        <x:f>SUMIF(F136:F144, TRUE, D136:D144)</x:f>
        <x:v>0</x:v>
      </x:c>
    </x:row>
    <x:row r="147">
      <x:c r="A147" s="4" t="str">
        <x:v>Task ID</x:v>
      </x:c>
      <x:c r="B147" s="4" t="str">
        <x:v>ANALYTICS</x:v>
      </x:c>
      <x:c r="C147" s="4" t="str">
        <x:v>Task Name</x:v>
      </x:c>
      <x:c r="D147" s="4" t="str">
        <x:v>Analytics and Decision-Support</x:v>
      </x:c>
      <x:c r="E147" s="4" t="str">
        <x:v>ClickUp Status</x:v>
      </x:c>
      <x:c r="F147" s="4" t="str">
        <x:v>for qa / internal testing</x:v>
      </x:c>
    </x:row>
    <x:row r="148">
      <x:c r="A148" s="8" t="str">
        <x:v>Subtask ID</x:v>
      </x:c>
      <x:c r="B148" s="8" t="str">
        <x:v>Subtask / Task Name</x:v>
      </x:c>
      <x:c r="C148" s="8" t="str">
        <x:v>Acceptance Criteria</x:v>
      </x:c>
      <x:c r="D148" s="8" t="str">
        <x:v>Weight Allocation</x:v>
      </x:c>
      <x:c r="E148" s="8" t="str">
        <x:v>ClickUp Status</x:v>
      </x:c>
      <x:c r="F148" s="8" t="str">
        <x:v>Accepted</x:v>
      </x:c>
    </x:row>
    <x:row r="149">
      <x:c r="A149" s="16" t="str">
        <x:v>REQ-01</x:v>
      </x:c>
      <x:c r="B149" s="16" t="str">
        <x:v>Define analytics dashboard requirements</x:v>
      </x:c>
      <x:c r="C149" s="16" t="str">
        <x:v>Given the PAULUS Define analytics dashboard requirements task is implemented, the feature should meet the approved capstone requirements and pass review against its expected behavior.</x:v>
      </x:c>
      <x:c r="D149" s="18" t="n">
        <x:v>0.0011136363636363637</x:v>
      </x:c>
      <x:c r="E149" s="16" t="str">
        <x:v>planning/backlog</x:v>
      </x:c>
      <x:c r="F149" s="17" t="b">
        <x:v>0</x:v>
      </x:c>
    </x:row>
    <x:row r="150">
      <x:c r="A150" s="16" t="str">
        <x:v>DES-01</x:v>
      </x:c>
      <x:c r="B150" s="16" t="str">
        <x:v>Design analytics dashboard wireframe</x:v>
      </x:c>
      <x:c r="C150" s="16" t="str">
        <x:v>Given the PAULUS Design analytics dashboard wireframe task is implemented, the feature should meet the approved capstone requirements and pass review against its expected behavior.</x:v>
      </x:c>
      <x:c r="D150" s="18" t="n">
        <x:v>0.0011136363636363637</x:v>
      </x:c>
      <x:c r="E150" s="16" t="str">
        <x:v>planning/backlog</x:v>
      </x:c>
      <x:c r="F150" s="17" t="b">
        <x:v>0</x:v>
      </x:c>
    </x:row>
    <x:row r="151">
      <x:c r="A151" s="16" t="str">
        <x:v>DEV-01</x:v>
      </x:c>
      <x:c r="B151" s="16" t="str">
        <x:v>Build analytics dashboard layout</x:v>
      </x:c>
      <x:c r="C151" s="16" t="str">
        <x:v>Given the PAULUS Build analytics dashboard layout task is implemented, the feature should meet the approved capstone requirements and pass review against its expected behavior.</x:v>
      </x:c>
      <x:c r="D151" s="18" t="n">
        <x:v>0.0011136363636363637</x:v>
      </x:c>
      <x:c r="E151" s="16" t="str">
        <x:v>planning/backlog</x:v>
      </x:c>
      <x:c r="F151" s="17" t="b">
        <x:v>0</x:v>
      </x:c>
    </x:row>
    <x:row r="152">
      <x:c r="A152" s="16" t="str">
        <x:v>DEV-02</x:v>
      </x:c>
      <x:c r="B152" s="16" t="str">
        <x:v>Add financial health classification display</x:v>
      </x:c>
      <x:c r="C152" s="16" t="str">
        <x:v>Given the PAULUS Add financial health classification display task is implemented, the feature should meet the approved capstone requirements and pass review against its expected behavior.</x:v>
      </x:c>
      <x:c r="D152" s="18" t="n">
        <x:v>0.0011136363636363637</x:v>
      </x:c>
      <x:c r="E152" s="16" t="str">
        <x:v>planning/backlog</x:v>
      </x:c>
      <x:c r="F152" s="17" t="b">
        <x:v>0</x:v>
      </x:c>
    </x:row>
    <x:row r="153">
      <x:c r="A153" s="16" t="str">
        <x:v>DEV-03</x:v>
      </x:c>
      <x:c r="B153" s="16" t="str">
        <x:v>Add forecasting output display</x:v>
      </x:c>
      <x:c r="C153" s="16" t="str">
        <x:v>Given the PAULUS Add forecasting output display task is implemented, the feature should meet the approved capstone requirements and pass review against its expected behavior.</x:v>
      </x:c>
      <x:c r="D153" s="18" t="n">
        <x:v>0.0011136363636363637</x:v>
      </x:c>
      <x:c r="E153" s="16" t="str">
        <x:v>planning/backlog</x:v>
      </x:c>
      <x:c r="F153" s="17" t="b">
        <x:v>0</x:v>
      </x:c>
    </x:row>
    <x:row r="154">
      <x:c r="A154" s="16" t="str">
        <x:v>DEV-04</x:v>
      </x:c>
      <x:c r="B154" s="16" t="str">
        <x:v>Add recommendation output display</x:v>
      </x:c>
      <x:c r="C154" s="16" t="str">
        <x:v>Given the PAULUS Add recommendation output display task is implemented, the feature should meet the approved capstone requirements and pass review against its expected behavior.</x:v>
      </x:c>
      <x:c r="D154" s="18" t="n">
        <x:v>0.0011136363636363637</x:v>
      </x:c>
      <x:c r="E154" s="16" t="str">
        <x:v>planning/backlog</x:v>
      </x:c>
      <x:c r="F154" s="17" t="b">
        <x:v>0</x:v>
      </x:c>
    </x:row>
    <x:row r="155">
      <x:c r="A155" s="16" t="str">
        <x:v>DEV-05</x:v>
      </x:c>
      <x:c r="B155" s="16" t="str">
        <x:v>Connect analytics dashboard to backend API</x:v>
      </x:c>
      <x:c r="C155" s="16" t="str">
        <x:v>Given the PAULUS Connect analytics dashboard to backend API task is implemented, the feature should meet the approved capstone requirements and pass review against its expected behavior.</x:v>
      </x:c>
      <x:c r="D155" s="18" t="n">
        <x:v>0.0011136363636363637</x:v>
      </x:c>
      <x:c r="E155" s="16" t="str">
        <x:v>planning/backlog</x:v>
      </x:c>
      <x:c r="F155" s="17" t="b">
        <x:v>0</x:v>
      </x:c>
    </x:row>
    <x:row r="156">
      <x:c r="A156" s="16" t="str">
        <x:v>TEST-01</x:v>
      </x:c>
      <x:c r="B156" s="16" t="str">
        <x:v>Test analytics dashboard outputs</x:v>
      </x:c>
      <x:c r="C156" s="16" t="str">
        <x:v>Given the PAULUS Test analytics dashboard outputs task is implemented, the feature should meet the approved capstone requirements and pass review against its expected behavior.</x:v>
      </x:c>
      <x:c r="D156" s="18" t="n">
        <x:v>0.0011136363636363637</x:v>
      </x:c>
      <x:c r="E156" s="16" t="str">
        <x:v>planning/backlog</x:v>
      </x:c>
      <x:c r="F156" s="17" t="b">
        <x:v>0</x:v>
      </x:c>
    </x:row>
    <x:row r="157">
      <x:c r="A157" s="16" t="str">
        <x:v>FIX-01</x:v>
      </x:c>
      <x:c r="B157" s="16" t="str">
        <x:v>Resolve analytics display and data issues</x:v>
      </x:c>
      <x:c r="C157" s="16" t="str">
        <x:v>Given the PAULUS Resolve analytics display and data issues task is implemented, the feature should meet the approved capstone requirements and pass review against its expected behavior.</x:v>
      </x:c>
      <x:c r="D157" s="18" t="n">
        <x:v>0.0011136363636363637</x:v>
      </x:c>
      <x:c r="E157" s="16" t="str">
        <x:v>planning/backlog</x:v>
      </x:c>
      <x:c r="F157" s="17" t="b">
        <x:v>0</x:v>
      </x:c>
    </x:row>
    <x:row r="158">
      <x:c r="A158" s="16" t="str">
        <x:v>UAT-01</x:v>
      </x:c>
      <x:c r="B158" s="16" t="str">
        <x:v>Validate analytics dashboard with target users</x:v>
      </x:c>
      <x:c r="C158" s="16" t="str">
        <x:v>Given the PAULUS Validate analytics dashboard with target users task is implemented, the feature should meet the approved capstone requirements and pass review against its expected behavior.</x:v>
      </x:c>
      <x:c r="D158" s="18" t="n">
        <x:v>0.0011136363636363637</x:v>
      </x:c>
      <x:c r="E158" s="16" t="str">
        <x:v>planning/backlog</x:v>
      </x:c>
      <x:c r="F158" s="17" t="b">
        <x:v>0</x:v>
      </x:c>
    </x:row>
    <x:row r="159">
      <x:c r="A159" s="16" t="str">
        <x:v>MS-01</x:v>
      </x:c>
      <x:c r="B159" s="16" t="str">
        <x:v>Document analytics dashboard in Chapter 4</x:v>
      </x:c>
      <x:c r="C159" s="16" t="str">
        <x:v>Given the PAULUS Document analytics dashboard in Chapter 4 task is implemented, the feature should meet the approved capstone requirements and pass review against its expected behavior.</x:v>
      </x:c>
      <x:c r="D159" s="18" t="n">
        <x:v>0.0011136363636363637</x:v>
      </x:c>
      <x:c r="E159" s="16" t="str">
        <x:v>planning/backlog</x:v>
      </x:c>
      <x:c r="F159" s="17" t="b">
        <x:v>0</x:v>
      </x:c>
    </x:row>
    <x:row r="160">
      <x:c r="A160" s="26" t="str">
        <x:v>Total Accomplished</x:v>
      </x:c>
      <x:c r="B160" s="26" t="str"/>
      <x:c r="C160" s="26" t="str"/>
      <x:c r="D160" s="27" t="n">
        <x:f>SUM(D149:D159)</x:f>
        <x:v>0.01225</x:v>
      </x:c>
      <x:c r="E160" s="27" t="str"/>
      <x:c r="F160" s="27" t="n">
        <x:f>SUMIF(F149:F159, TRUE, D149:D159)</x:f>
        <x:v>0</x:v>
      </x:c>
    </x:row>
    <x:row r="162">
      <x:c r="A162" s="4" t="str">
        <x:v>Task ID</x:v>
      </x:c>
      <x:c r="B162" s="4" t="str">
        <x:v>FS</x:v>
      </x:c>
      <x:c r="C162" s="4" t="str">
        <x:v>Task Name</x:v>
      </x:c>
      <x:c r="D162" s="4" t="str">
        <x:v>Financial Statement Upload Interface</x:v>
      </x:c>
      <x:c r="E162" s="4" t="str">
        <x:v>ClickUp Status</x:v>
      </x:c>
      <x:c r="F162" s="4" t="str">
        <x:v>for qa / internal testing</x:v>
      </x:c>
    </x:row>
    <x:row r="163">
      <x:c r="A163" s="8" t="str">
        <x:v>Subtask ID</x:v>
      </x:c>
      <x:c r="B163" s="8" t="str">
        <x:v>Subtask / Task Name</x:v>
      </x:c>
      <x:c r="C163" s="8" t="str">
        <x:v>Acceptance Criteria</x:v>
      </x:c>
      <x:c r="D163" s="8" t="str">
        <x:v>Weight Allocation</x:v>
      </x:c>
      <x:c r="E163" s="8" t="str">
        <x:v>ClickUp Status</x:v>
      </x:c>
      <x:c r="F163" s="8" t="str">
        <x:v>Accepted</x:v>
      </x:c>
    </x:row>
    <x:row r="164">
      <x:c r="A164" s="16" t="str">
        <x:v>REQ-01</x:v>
      </x:c>
      <x:c r="B164" s="16" t="str">
        <x:v>Define financial statement upload requirements</x:v>
      </x:c>
      <x:c r="C164" s="16" t="str">
        <x:v>Given the PAULUS Define financial statement upload requirements task is implemented, the feature should meet the approved capstone requirements and pass review against its expected behavior.</x:v>
      </x:c>
      <x:c r="D164" s="18" t="n">
        <x:v>0.0013611111111111111</x:v>
      </x:c>
      <x:c r="E164" s="16" t="str">
        <x:v>planning/backlog</x:v>
      </x:c>
      <x:c r="F164" s="17" t="b">
        <x:v>0</x:v>
      </x:c>
    </x:row>
    <x:row r="165">
      <x:c r="A165" s="16" t="str">
        <x:v>DES-01</x:v>
      </x:c>
      <x:c r="B165" s="16" t="str">
        <x:v>Design financial statement upload interface</x:v>
      </x:c>
      <x:c r="C165" s="16" t="str">
        <x:v>Given the PAULUS Design financial statement upload interface task is implemented, the feature should meet the approved capstone requirements and pass review against its expected behavior.</x:v>
      </x:c>
      <x:c r="D165" s="18" t="n">
        <x:v>0.0013611111111111111</x:v>
      </x:c>
      <x:c r="E165" s="16" t="str">
        <x:v>planning/backlog</x:v>
      </x:c>
      <x:c r="F165" s="17" t="b">
        <x:v>0</x:v>
      </x:c>
    </x:row>
    <x:row r="166">
      <x:c r="A166" s="16" t="str">
        <x:v>DEV-01</x:v>
      </x:c>
      <x:c r="B166" s="16" t="str">
        <x:v>Build financial statement upload form</x:v>
      </x:c>
      <x:c r="C166" s="16" t="str">
        <x:v>Given the PAULUS Build financial statement upload form task is implemented, the feature should meet the approved capstone requirements and pass review against its expected behavior.</x:v>
      </x:c>
      <x:c r="D166" s="18" t="n">
        <x:v>0.0013611111111111111</x:v>
      </x:c>
      <x:c r="E166" s="16" t="str">
        <x:v>planning/backlog</x:v>
      </x:c>
      <x:c r="F166" s="17" t="b">
        <x:v>0</x:v>
      </x:c>
    </x:row>
    <x:row r="167">
      <x:c r="A167" s="16" t="str">
        <x:v>DEV-02</x:v>
      </x:c>
      <x:c r="B167" s="16" t="str">
        <x:v>Add financial statement preview display</x:v>
      </x:c>
      <x:c r="C167" s="16" t="str">
        <x:v>Given the PAULUS Add financial statement preview display task is implemented, the feature should meet the approved capstone requirements and pass review against its expected behavior.</x:v>
      </x:c>
      <x:c r="D167" s="18" t="n">
        <x:v>0.0013611111111111111</x:v>
      </x:c>
      <x:c r="E167" s="16" t="str">
        <x:v>planning/backlog</x:v>
      </x:c>
      <x:c r="F167" s="17" t="b">
        <x:v>0</x:v>
      </x:c>
    </x:row>
    <x:row r="168">
      <x:c r="A168" s="16" t="str">
        <x:v>DEV-03</x:v>
      </x:c>
      <x:c r="B168" s="16" t="str">
        <x:v>Connect financial statement upload to backend API</x:v>
      </x:c>
      <x:c r="C168" s="16" t="str">
        <x:v>Given the PAULUS Connect financial statement upload to backend API task is implemented, the feature should meet the approved capstone requirements and pass review against its expected behavior.</x:v>
      </x:c>
      <x:c r="D168" s="18" t="n">
        <x:v>0.0013611111111111111</x:v>
      </x:c>
      <x:c r="E168" s="16" t="str">
        <x:v>planning/backlog</x:v>
      </x:c>
      <x:c r="F168" s="17" t="b">
        <x:v>0</x:v>
      </x:c>
    </x:row>
    <x:row r="169">
      <x:c r="A169" s="16" t="str">
        <x:v>TEST-01</x:v>
      </x:c>
      <x:c r="B169" s="16" t="str">
        <x:v>Test financial statement upload and preview</x:v>
      </x:c>
      <x:c r="C169" s="16" t="str">
        <x:v>Given the PAULUS Test financial statement upload and preview task is implemented, the feature should meet the approved capstone requirements and pass review against its expected behavior.</x:v>
      </x:c>
      <x:c r="D169" s="18" t="n">
        <x:v>0.0013611111111111111</x:v>
      </x:c>
      <x:c r="E169" s="16" t="str">
        <x:v>planning/backlog</x:v>
      </x:c>
      <x:c r="F169" s="17" t="b">
        <x:v>0</x:v>
      </x:c>
    </x:row>
    <x:row r="170">
      <x:c r="A170" s="16" t="str">
        <x:v>FIX-01</x:v>
      </x:c>
      <x:c r="B170" s="16" t="str">
        <x:v>Resolve financial statement upload issues</x:v>
      </x:c>
      <x:c r="C170" s="16" t="str">
        <x:v>Given the PAULUS Resolve financial statement upload issues task is implemented, the feature should meet the approved capstone requirements and pass review against its expected behavior.</x:v>
      </x:c>
      <x:c r="D170" s="18" t="n">
        <x:v>0.0013611111111111111</x:v>
      </x:c>
      <x:c r="E170" s="16" t="str">
        <x:v>planning/backlog</x:v>
      </x:c>
      <x:c r="F170" s="17" t="b">
        <x:v>0</x:v>
      </x:c>
    </x:row>
    <x:row r="171">
      <x:c r="A171" s="16" t="str">
        <x:v>UAT-01</x:v>
      </x:c>
      <x:c r="B171" s="16" t="str">
        <x:v>Validate financial statement upload with target users</x:v>
      </x:c>
      <x:c r="C171" s="16" t="str">
        <x:v>Given the PAULUS Validate financial statement upload with target users task is implemented, the feature should meet the approved capstone requirements and pass review against its expected behavior.</x:v>
      </x:c>
      <x:c r="D171" s="18" t="n">
        <x:v>0.0013611111111111111</x:v>
      </x:c>
      <x:c r="E171" s="16" t="str">
        <x:v>planning/backlog</x:v>
      </x:c>
      <x:c r="F171" s="17" t="b">
        <x:v>0</x:v>
      </x:c>
    </x:row>
    <x:row r="172">
      <x:c r="A172" s="16" t="str">
        <x:v>MS-01</x:v>
      </x:c>
      <x:c r="B172" s="16" t="str">
        <x:v>Document financial statement upload interface</x:v>
      </x:c>
      <x:c r="C172" s="16" t="str">
        <x:v>Given the PAULUS Document financial statement upload interface task is implemented, the feature should meet the approved capstone requirements and pass review against its expected behavior.</x:v>
      </x:c>
      <x:c r="D172" s="18" t="n">
        <x:v>0.0013611111111111111</x:v>
      </x:c>
      <x:c r="E172" s="16" t="str">
        <x:v>planning/backlog</x:v>
      </x:c>
      <x:c r="F172" s="17" t="b">
        <x:v>0</x:v>
      </x:c>
    </x:row>
    <x:row r="173">
      <x:c r="A173" s="26" t="str">
        <x:v>Total Accomplished</x:v>
      </x:c>
      <x:c r="B173" s="26" t="str"/>
      <x:c r="C173" s="26" t="str"/>
      <x:c r="D173" s="27" t="n">
        <x:f>SUM(D164:D172)</x:f>
        <x:v>0.012250000000000002</x:v>
      </x:c>
      <x:c r="E173" s="27" t="str"/>
      <x:c r="F173" s="27" t="n">
        <x:f>SUMIF(F164:F172, TRUE, D164:D172)</x:f>
        <x:v>0</x:v>
      </x:c>
    </x:row>
    <x:row r="175">
      <x:c r="A175" s="4" t="str">
        <x:v>Task ID</x:v>
      </x:c>
      <x:c r="B175" s="4" t="str">
        <x:v>ANNC</x:v>
      </x:c>
      <x:c r="C175" s="4" t="str">
        <x:v>Task Name</x:v>
      </x:c>
      <x:c r="D175" s="4" t="str">
        <x:v>Announcements Interface</x:v>
      </x:c>
      <x:c r="E175" s="4" t="str">
        <x:v>ClickUp Status</x:v>
      </x:c>
      <x:c r="F175" s="4" t="str">
        <x:v>for qa / internal testing</x:v>
      </x:c>
    </x:row>
    <x:row r="176">
      <x:c r="A176" s="8" t="str">
        <x:v>Subtask ID</x:v>
      </x:c>
      <x:c r="B176" s="8" t="str">
        <x:v>Subtask / Task Name</x:v>
      </x:c>
      <x:c r="C176" s="8" t="str">
        <x:v>Acceptance Criteria</x:v>
      </x:c>
      <x:c r="D176" s="8" t="str">
        <x:v>Weight Allocation</x:v>
      </x:c>
      <x:c r="E176" s="8" t="str">
        <x:v>ClickUp Status</x:v>
      </x:c>
      <x:c r="F176" s="8" t="str">
        <x:v>Accepted</x:v>
      </x:c>
    </x:row>
    <x:row r="177">
      <x:c r="A177" s="16" t="str">
        <x:v>REQ-01</x:v>
      </x:c>
      <x:c r="B177" s="16" t="str">
        <x:v>Define announcements page requirements</x:v>
      </x:c>
      <x:c r="C177" s="16" t="str">
        <x:v>Given the PAULUS Define announcements page requirements task is implemented, the feature should meet the approved capstone requirements and pass review against its expected behavior.</x:v>
      </x:c>
      <x:c r="D177" s="18" t="n">
        <x:v>0.00175</x:v>
      </x:c>
      <x:c r="E177" s="16" t="str">
        <x:v>standardized subtask - URL pending</x:v>
      </x:c>
      <x:c r="F177" s="17" t="b">
        <x:v>0</x:v>
      </x:c>
    </x:row>
    <x:row r="178">
      <x:c r="A178" s="16" t="str">
        <x:v>DES-01</x:v>
      </x:c>
      <x:c r="B178" s="16" t="str">
        <x:v>Design announcements page and notification display</x:v>
      </x:c>
      <x:c r="C178" s="16" t="str">
        <x:v>Given the PAULUS Design announcements page and notification display task is implemented, the feature should meet the approved capstone requirements and pass review against its expected behavior.</x:v>
      </x:c>
      <x:c r="D178" s="18" t="n">
        <x:v>0.00175</x:v>
      </x:c>
      <x:c r="E178" s="16" t="str">
        <x:v>planning/backlog</x:v>
      </x:c>
      <x:c r="F178" s="17" t="b">
        <x:v>0</x:v>
      </x:c>
    </x:row>
    <x:row r="179">
      <x:c r="A179" s="16" t="str">
        <x:v>DEV-01</x:v>
      </x:c>
      <x:c r="B179" s="16" t="str">
        <x:v>Build announcements page interface</x:v>
      </x:c>
      <x:c r="C179" s="16" t="str">
        <x:v>Given the PAULUS Build announcements page interface task is implemented, the feature should meet the approved capstone requirements and pass review against its expected behavior.</x:v>
      </x:c>
      <x:c r="D179" s="18" t="n">
        <x:v>0.00175</x:v>
      </x:c>
      <x:c r="E179" s="16" t="str">
        <x:v>standardized subtask - URL pending</x:v>
      </x:c>
      <x:c r="F179" s="17" t="b">
        <x:v>0</x:v>
      </x:c>
    </x:row>
    <x:row r="180">
      <x:c r="A180" s="16" t="str">
        <x:v>TEST-01</x:v>
      </x:c>
      <x:c r="B180" s="16" t="str">
        <x:v>Test announcement creation, editing, publishing, and display</x:v>
      </x:c>
      <x:c r="C180" s="16" t="str">
        <x:v>Given the PAULUS Test announcement creation, editing, publishing, and display task is implemented, the feature should meet the approved capstone requirements and pass review against its expected behavior.</x:v>
      </x:c>
      <x:c r="D180" s="18" t="n">
        <x:v>0.00175</x:v>
      </x:c>
      <x:c r="E180" s="16" t="str">
        <x:v>standardized subtask - URL pending</x:v>
      </x:c>
      <x:c r="F180" s="17" t="b">
        <x:v>0</x:v>
      </x:c>
    </x:row>
    <x:row r="181">
      <x:c r="A181" s="16" t="str">
        <x:v>FIX-01</x:v>
      </x:c>
      <x:c r="B181" s="16" t="str">
        <x:v>Resolve announcements page issues</x:v>
      </x:c>
      <x:c r="C181" s="16" t="str">
        <x:v>Given the PAULUS Resolve announcements page issues task is implemented, the feature should meet the approved capstone requirements and pass review against its expected behavior.</x:v>
      </x:c>
      <x:c r="D181" s="18" t="n">
        <x:v>0.00175</x:v>
      </x:c>
      <x:c r="E181" s="16" t="str">
        <x:v>standardized subtask - URL pending</x:v>
      </x:c>
      <x:c r="F181" s="17" t="b">
        <x:v>0</x:v>
      </x:c>
    </x:row>
    <x:row r="182">
      <x:c r="A182" s="16" t="str">
        <x:v>UAT-01</x:v>
      </x:c>
      <x:c r="B182" s="16" t="str">
        <x:v>Validate announcements page with target users</x:v>
      </x:c>
      <x:c r="C182" s="16" t="str">
        <x:v>Given the PAULUS Validate announcements page with target users task is implemented, the feature should meet the approved capstone requirements and pass review against its expected behavior.</x:v>
      </x:c>
      <x:c r="D182" s="18" t="n">
        <x:v>0.00175</x:v>
      </x:c>
      <x:c r="E182" s="16" t="str">
        <x:v>standardized subtask - URL pending</x:v>
      </x:c>
      <x:c r="F182" s="17" t="b">
        <x:v>0</x:v>
      </x:c>
    </x:row>
    <x:row r="183">
      <x:c r="A183" s="16" t="str">
        <x:v>MS-01</x:v>
      </x:c>
      <x:c r="B183" s="16" t="str">
        <x:v>Document announcements module in Chapter 4</x:v>
      </x:c>
      <x:c r="C183" s="16" t="str">
        <x:v>Given the PAULUS Document announcements module in Chapter 4 task is implemented, the feature should meet the approved capstone requirements and pass review against its expected behavior.</x:v>
      </x:c>
      <x:c r="D183" s="18" t="n">
        <x:v>0.00175</x:v>
      </x:c>
      <x:c r="E183" s="16" t="str">
        <x:v>standardized subtask - URL pending</x:v>
      </x:c>
      <x:c r="F183" s="17" t="b">
        <x:v>0</x:v>
      </x:c>
    </x:row>
    <x:row r="184">
      <x:c r="A184" s="26" t="str">
        <x:v>Total Accomplished</x:v>
      </x:c>
      <x:c r="B184" s="26" t="str"/>
      <x:c r="C184" s="26" t="str"/>
      <x:c r="D184" s="27" t="n">
        <x:f>SUM(D177:D183)</x:f>
        <x:v>0.01225</x:v>
      </x:c>
      <x:c r="E184" s="27" t="str"/>
      <x:c r="F184" s="27" t="n">
        <x:f>SUMIF(F177:F183, TRUE, D177:D183)</x:f>
        <x:v>0</x:v>
      </x:c>
    </x:row>
    <x:row r="186">
      <x:c r="A186" s="4" t="str">
        <x:v>Task ID</x:v>
      </x:c>
      <x:c r="B186" s="4" t="str">
        <x:v>NOTIF</x:v>
      </x:c>
      <x:c r="C186" s="4" t="str">
        <x:v>Task Name</x:v>
      </x:c>
      <x:c r="D186" s="4" t="str">
        <x:v>Notification Feature</x:v>
      </x:c>
      <x:c r="E186" s="4" t="str">
        <x:v>ClickUp Status</x:v>
      </x:c>
      <x:c r="F186" s="4" t="str">
        <x:v>planning/backlog</x:v>
      </x:c>
    </x:row>
    <x:row r="187">
      <x:c r="A187" s="8" t="str">
        <x:v>Subtask ID</x:v>
      </x:c>
      <x:c r="B187" s="8" t="str">
        <x:v>Subtask / Task Name</x:v>
      </x:c>
      <x:c r="C187" s="8" t="str">
        <x:v>Acceptance Criteria</x:v>
      </x:c>
      <x:c r="D187" s="8" t="str">
        <x:v>Weight Allocation</x:v>
      </x:c>
      <x:c r="E187" s="8" t="str">
        <x:v>ClickUp Status</x:v>
      </x:c>
      <x:c r="F187" s="8" t="str">
        <x:v>Accepted</x:v>
      </x:c>
    </x:row>
    <x:row r="188">
      <x:c r="A188" s="16" t="str">
        <x:v>REQ-01</x:v>
      </x:c>
      <x:c r="B188" s="16" t="str">
        <x:v>Define notification UI requirements</x:v>
      </x:c>
      <x:c r="C188" s="16" t="str">
        <x:v>Given the PAULUS Define notification UI requirements task is implemented, the feature should meet the approved capstone requirements and pass review against its expected behavior.</x:v>
      </x:c>
      <x:c r="D188" s="18" t="n">
        <x:v>0.00175</x:v>
      </x:c>
      <x:c r="E188" s="16" t="str">
        <x:v>planning/backlog</x:v>
      </x:c>
      <x:c r="F188" s="17" t="b">
        <x:v>0</x:v>
      </x:c>
    </x:row>
    <x:row r="189">
      <x:c r="A189" s="16" t="str">
        <x:v>DES-01</x:v>
      </x:c>
      <x:c r="B189" s="16" t="str">
        <x:v>Design notification display and read-state workflow</x:v>
      </x:c>
      <x:c r="C189" s="16" t="str">
        <x:v>Given the PAULUS Design notification display and read-state workflow task is implemented, the feature should meet the approved capstone requirements and pass review against its expected behavior.</x:v>
      </x:c>
      <x:c r="D189" s="18" t="n">
        <x:v>0.00175</x:v>
      </x:c>
      <x:c r="E189" s="16" t="str">
        <x:v>planning/backlog</x:v>
      </x:c>
      <x:c r="F189" s="17" t="b">
        <x:v>0</x:v>
      </x:c>
    </x:row>
    <x:row r="190">
      <x:c r="A190" s="16" t="str">
        <x:v>DEV-01</x:v>
      </x:c>
      <x:c r="B190" s="16" t="str">
        <x:v>Build notification display and read-state UI</x:v>
      </x:c>
      <x:c r="C190" s="16" t="str">
        <x:v>Given the PAULUS Build notification display and read-state UI task is implemented, the feature should meet the approved capstone requirements and pass review against its expected behavior.</x:v>
      </x:c>
      <x:c r="D190" s="18" t="n">
        <x:v>0.00175</x:v>
      </x:c>
      <x:c r="E190" s="16" t="str">
        <x:v>planning/backlog</x:v>
      </x:c>
      <x:c r="F190" s="17" t="b">
        <x:v>0</x:v>
      </x:c>
    </x:row>
    <x:row r="191">
      <x:c r="A191" s="16" t="str">
        <x:v>TEST-01</x:v>
      </x:c>
      <x:c r="B191" s="16" t="str">
        <x:v>Test notification visibility, dismissal, and state behavior</x:v>
      </x:c>
      <x:c r="C191" s="16" t="str">
        <x:v>Given the PAULUS Test notification visibility, dismissal, and state behavior task is implemented, the feature should meet the approved capstone requirements and pass review against its expected behavior.</x:v>
      </x:c>
      <x:c r="D191" s="18" t="n">
        <x:v>0.00175</x:v>
      </x:c>
      <x:c r="E191" s="16" t="str">
        <x:v>planning/backlog</x:v>
      </x:c>
      <x:c r="F191" s="17" t="b">
        <x:v>0</x:v>
      </x:c>
    </x:row>
    <x:row r="192">
      <x:c r="A192" s="16" t="str">
        <x:v>FIX-01</x:v>
      </x:c>
      <x:c r="B192" s="16" t="str">
        <x:v>Resolve notification UI issues</x:v>
      </x:c>
      <x:c r="C192" s="16" t="str">
        <x:v>Given the PAULUS Resolve notification UI issues task is implemented, the feature should meet the approved capstone requirements and pass review against its expected behavior.</x:v>
      </x:c>
      <x:c r="D192" s="18" t="n">
        <x:v>0.00175</x:v>
      </x:c>
      <x:c r="E192" s="16" t="str">
        <x:v>planning/backlog</x:v>
      </x:c>
      <x:c r="F192" s="17" t="b">
        <x:v>0</x:v>
      </x:c>
    </x:row>
    <x:row r="193">
      <x:c r="A193" s="16" t="str">
        <x:v>UAT-01</x:v>
      </x:c>
      <x:c r="B193" s="16" t="str">
        <x:v>Validate notifications with target users</x:v>
      </x:c>
      <x:c r="C193" s="16" t="str">
        <x:v>Given the PAULUS Validate notifications with target users task is implemented, the feature should meet the approved capstone requirements and pass review against its expected behavior.</x:v>
      </x:c>
      <x:c r="D193" s="18" t="n">
        <x:v>0.00175</x:v>
      </x:c>
      <x:c r="E193" s="16" t="str">
        <x:v>planning/backlog</x:v>
      </x:c>
      <x:c r="F193" s="17" t="b">
        <x:v>0</x:v>
      </x:c>
    </x:row>
    <x:row r="194">
      <x:c r="A194" s="16" t="str">
        <x:v>MS-01</x:v>
      </x:c>
      <x:c r="B194" s="16" t="str">
        <x:v>Document notification feature in Chapter 4</x:v>
      </x:c>
      <x:c r="C194" s="16" t="str">
        <x:v>Given the PAULUS Document notification feature in Chapter 4 task is implemented, the feature should meet the approved capstone requirements and pass review against its expected behavior.</x:v>
      </x:c>
      <x:c r="D194" s="18" t="n">
        <x:v>0.00175</x:v>
      </x:c>
      <x:c r="E194" s="16" t="str">
        <x:v>planning/backlog</x:v>
      </x:c>
      <x:c r="F194" s="17" t="b">
        <x:v>0</x:v>
      </x:c>
    </x:row>
    <x:row r="195">
      <x:c r="A195" s="26" t="str">
        <x:v>Total Accomplished</x:v>
      </x:c>
      <x:c r="B195" s="26" t="str"/>
      <x:c r="C195" s="26" t="str"/>
      <x:c r="D195" s="27" t="n">
        <x:f>SUM(D188:D194)</x:f>
        <x:v>0.01225</x:v>
      </x:c>
      <x:c r="E195" s="27" t="str"/>
      <x:c r="F195" s="27" t="n">
        <x:f>SUMIF(F188:F194, TRUE, D188:D194)</x:f>
        <x:v>0</x:v>
      </x:c>
    </x:row>
    <x:row r="197">
      <x:c r="A197" s="4" t="str">
        <x:v>Task ID</x:v>
      </x:c>
      <x:c r="B197" s="4" t="str">
        <x:v>IAFR</x:v>
      </x:c>
      <x:c r="C197" s="4" t="str">
        <x:v>Task Name</x:v>
      </x:c>
      <x:c r="D197" s="4" t="str">
        <x:v>IAFR Data Entry and Upload Interface</x:v>
      </x:c>
      <x:c r="E197" s="4" t="str">
        <x:v>ClickUp Status</x:v>
      </x:c>
      <x:c r="F197" s="4" t="str">
        <x:v>for qa / internal testing</x:v>
      </x:c>
    </x:row>
    <x:row r="198">
      <x:c r="A198" s="8" t="str">
        <x:v>Subtask ID</x:v>
      </x:c>
      <x:c r="B198" s="8" t="str">
        <x:v>Subtask / Task Name</x:v>
      </x:c>
      <x:c r="C198" s="8" t="str">
        <x:v>Acceptance Criteria</x:v>
      </x:c>
      <x:c r="D198" s="8" t="str">
        <x:v>Weight Allocation</x:v>
      </x:c>
      <x:c r="E198" s="8" t="str">
        <x:v>ClickUp Status</x:v>
      </x:c>
      <x:c r="F198" s="8" t="str">
        <x:v>Accepted</x:v>
      </x:c>
    </x:row>
    <x:row r="199">
      <x:c r="A199" s="16" t="str">
        <x:v>REQ-01</x:v>
      </x:c>
      <x:c r="B199" s="16" t="str">
        <x:v>Define IAFR upload and encoding requirements</x:v>
      </x:c>
      <x:c r="C199" s="16" t="str">
        <x:v>Given the PAULUS Define IAFR upload and encoding requirements task is implemented, the feature should meet the approved capstone requirements and pass review against its expected behavior.</x:v>
      </x:c>
      <x:c r="D199" s="18" t="n">
        <x:v>0.0013611111111111111</x:v>
      </x:c>
      <x:c r="E199" s="16" t="str">
        <x:v>planning/backlog</x:v>
      </x:c>
      <x:c r="F199" s="17" t="b">
        <x:v>0</x:v>
      </x:c>
    </x:row>
    <x:row r="200">
      <x:c r="A200" s="16" t="str">
        <x:v>DES-01</x:v>
      </x:c>
      <x:c r="B200" s="16" t="str">
        <x:v>Design IAFR upload and entry interface</x:v>
      </x:c>
      <x:c r="C200" s="16" t="str">
        <x:v>Given the PAULUS Design IAFR upload and entry interface task is implemented, the feature should meet the approved capstone requirements and pass review against its expected behavior.</x:v>
      </x:c>
      <x:c r="D200" s="18" t="n">
        <x:v>0.0013611111111111111</x:v>
      </x:c>
      <x:c r="E200" s="16" t="str">
        <x:v>planning/backlog</x:v>
      </x:c>
      <x:c r="F200" s="17" t="b">
        <x:v>0</x:v>
      </x:c>
    </x:row>
    <x:row r="201">
      <x:c r="A201" s="16" t="str">
        <x:v>DEV-01</x:v>
      </x:c>
      <x:c r="B201" s="16" t="str">
        <x:v>Build IAFR upload form</x:v>
      </x:c>
      <x:c r="C201" s="16" t="str">
        <x:v>Given the PAULUS Build IAFR upload form task is implemented, the feature should meet the approved capstone requirements and pass review against its expected behavior.</x:v>
      </x:c>
      <x:c r="D201" s="18" t="n">
        <x:v>0.0013611111111111111</x:v>
      </x:c>
      <x:c r="E201" s="16" t="str">
        <x:v>planning/backlog</x:v>
      </x:c>
      <x:c r="F201" s="17" t="b">
        <x:v>0</x:v>
      </x:c>
    </x:row>
    <x:row r="202">
      <x:c r="A202" s="16" t="str">
        <x:v>DEV-02</x:v>
      </x:c>
      <x:c r="B202" s="16" t="str">
        <x:v>Build IAFR manual data entry fields</x:v>
      </x:c>
      <x:c r="C202" s="16" t="str">
        <x:v>Given the PAULUS Build IAFR manual data entry fields task is implemented, the feature should meet the approved capstone requirements and pass review against its expected behavior.</x:v>
      </x:c>
      <x:c r="D202" s="18" t="n">
        <x:v>0.0013611111111111111</x:v>
      </x:c>
      <x:c r="E202" s="16" t="str">
        <x:v>planning/backlog</x:v>
      </x:c>
      <x:c r="F202" s="17" t="b">
        <x:v>0</x:v>
      </x:c>
    </x:row>
    <x:row r="203">
      <x:c r="A203" s="16" t="str">
        <x:v>DEV-03</x:v>
      </x:c>
      <x:c r="B203" s="16" t="str">
        <x:v>Connect IAFR interface to backend API</x:v>
      </x:c>
      <x:c r="C203" s="16" t="str">
        <x:v>Given the PAULUS Connect IAFR interface to backend API task is implemented, the feature should meet the approved capstone requirements and pass review against its expected behavior.</x:v>
      </x:c>
      <x:c r="D203" s="18" t="n">
        <x:v>0.0013611111111111111</x:v>
      </x:c>
      <x:c r="E203" s="16" t="str">
        <x:v>planning/backlog</x:v>
      </x:c>
      <x:c r="F203" s="17" t="b">
        <x:v>0</x:v>
      </x:c>
    </x:row>
    <x:row r="204">
      <x:c r="A204" s="16" t="str">
        <x:v>TEST-01</x:v>
      </x:c>
      <x:c r="B204" s="16" t="str">
        <x:v>Test IAFR file upload and manual entry</x:v>
      </x:c>
      <x:c r="C204" s="16" t="str">
        <x:v>Given the PAULUS Test IAFR file upload and manual entry task is implemented, the feature should meet the approved capstone requirements and pass review against its expected behavior.</x:v>
      </x:c>
      <x:c r="D204" s="18" t="n">
        <x:v>0.0013611111111111111</x:v>
      </x:c>
      <x:c r="E204" s="16" t="str">
        <x:v>planning/backlog</x:v>
      </x:c>
      <x:c r="F204" s="17" t="b">
        <x:v>0</x:v>
      </x:c>
    </x:row>
    <x:row r="205">
      <x:c r="A205" s="16" t="str">
        <x:v>FIX-01</x:v>
      </x:c>
      <x:c r="B205" s="16" t="str">
        <x:v>Resolve IAFR interface and validation issues</x:v>
      </x:c>
      <x:c r="C205" s="16" t="str">
        <x:v>Given the PAULUS Resolve IAFR interface and validation issues task is implemented, the feature should meet the approved capstone requirements and pass review against its expected behavior.</x:v>
      </x:c>
      <x:c r="D205" s="18" t="n">
        <x:v>0.0013611111111111111</x:v>
      </x:c>
      <x:c r="E205" s="16" t="str">
        <x:v>planning/backlog</x:v>
      </x:c>
      <x:c r="F205" s="17" t="b">
        <x:v>0</x:v>
      </x:c>
    </x:row>
    <x:row r="206">
      <x:c r="A206" s="16" t="str">
        <x:v>UAT-01</x:v>
      </x:c>
      <x:c r="B206" s="16" t="str">
        <x:v>Validate IAFR upload with target users</x:v>
      </x:c>
      <x:c r="C206" s="16" t="str">
        <x:v>Given the PAULUS Validate IAFR upload with target users task is implemented, the feature should meet the approved capstone requirements and pass review against its expected behavior.</x:v>
      </x:c>
      <x:c r="D206" s="18" t="n">
        <x:v>0.0013611111111111111</x:v>
      </x:c>
      <x:c r="E206" s="16" t="str">
        <x:v>planning/backlog</x:v>
      </x:c>
      <x:c r="F206" s="17" t="b">
        <x:v>0</x:v>
      </x:c>
    </x:row>
    <x:row r="207">
      <x:c r="A207" s="16" t="str">
        <x:v>MS-01</x:v>
      </x:c>
      <x:c r="B207" s="16" t="str">
        <x:v>Document IAFR interface in Chapter 4</x:v>
      </x:c>
      <x:c r="C207" s="16" t="str">
        <x:v>Given the PAULUS Document IAFR interface in Chapter 4 task is implemented, the feature should meet the approved capstone requirements and pass review against its expected behavior.</x:v>
      </x:c>
      <x:c r="D207" s="18" t="n">
        <x:v>0.0013611111111111111</x:v>
      </x:c>
      <x:c r="E207" s="16" t="str">
        <x:v>planning/backlog</x:v>
      </x:c>
      <x:c r="F207" s="17" t="b">
        <x:v>0</x:v>
      </x:c>
    </x:row>
    <x:row r="208">
      <x:c r="A208" s="26" t="str">
        <x:v>Total Accomplished</x:v>
      </x:c>
      <x:c r="B208" s="26" t="str"/>
      <x:c r="C208" s="26" t="str"/>
      <x:c r="D208" s="27" t="n">
        <x:f>SUM(D199:D207)</x:f>
        <x:v>0.012250000000000002</x:v>
      </x:c>
      <x:c r="E208" s="27" t="str"/>
      <x:c r="F208" s="27" t="n">
        <x:f>SUMIF(F199:F207, TRUE, D199:D207)</x:f>
        <x:v>0</x:v>
      </x:c>
    </x:row>
    <x:row r="210">
      <x:c r="A210" s="4" t="str">
        <x:v>Task ID</x:v>
      </x:c>
      <x:c r="B210" s="4" t="str">
        <x:v>AUDITLOG</x:v>
      </x:c>
      <x:c r="C210" s="4" t="str">
        <x:v>Task Name</x:v>
      </x:c>
      <x:c r="D210" s="4" t="str">
        <x:v>Audit Log Viewing Interface</x:v>
      </x:c>
      <x:c r="E210" s="4" t="str">
        <x:v>ClickUp Status</x:v>
      </x:c>
      <x:c r="F210" s="4" t="str">
        <x:v>for qa / internal testing</x:v>
      </x:c>
    </x:row>
    <x:row r="211">
      <x:c r="A211" s="8" t="str">
        <x:v>Subtask ID</x:v>
      </x:c>
      <x:c r="B211" s="8" t="str">
        <x:v>Subtask / Task Name</x:v>
      </x:c>
      <x:c r="C211" s="8" t="str">
        <x:v>Acceptance Criteria</x:v>
      </x:c>
      <x:c r="D211" s="8" t="str">
        <x:v>Weight Allocation</x:v>
      </x:c>
      <x:c r="E211" s="8" t="str">
        <x:v>ClickUp Status</x:v>
      </x:c>
      <x:c r="F211" s="8" t="str">
        <x:v>Accepted</x:v>
      </x:c>
    </x:row>
    <x:row r="212">
      <x:c r="A212" s="16" t="str">
        <x:v>REQ-01</x:v>
      </x:c>
      <x:c r="B212" s="16" t="str">
        <x:v>Define audit log viewing interface requirements</x:v>
      </x:c>
      <x:c r="C212" s="16" t="str">
        <x:v>Given the PAULUS Define audit log viewing interface requirements task is implemented, the feature should meet the approved capstone requirements and pass review against its expected behavior.</x:v>
      </x:c>
      <x:c r="D212" s="18" t="n">
        <x:v>0.0013611111111111111</x:v>
      </x:c>
      <x:c r="E212" s="16" t="str">
        <x:v>planning/backlog</x:v>
      </x:c>
      <x:c r="F212" s="17" t="b">
        <x:v>0</x:v>
      </x:c>
    </x:row>
    <x:row r="213">
      <x:c r="A213" s="16" t="str">
        <x:v>DES-01</x:v>
      </x:c>
      <x:c r="B213" s="16" t="str">
        <x:v>Design audit log timeline and detail panel layout</x:v>
      </x:c>
      <x:c r="C213" s="16" t="str">
        <x:v>Given the PAULUS Design audit log timeline and detail panel layout task is implemented, the feature should meet the approved capstone requirements and pass review against its expected behavior.</x:v>
      </x:c>
      <x:c r="D213" s="18" t="n">
        <x:v>0.0013611111111111111</x:v>
      </x:c>
      <x:c r="E213" s="16" t="str">
        <x:v>planning/backlog</x:v>
      </x:c>
      <x:c r="F213" s="17" t="b">
        <x:v>0</x:v>
      </x:c>
    </x:row>
    <x:row r="214">
      <x:c r="A214" s="16" t="str">
        <x:v>DEV-01</x:v>
      </x:c>
      <x:c r="B214" s="16" t="str">
        <x:v>Build audit log timeline and category filter interface</x:v>
      </x:c>
      <x:c r="C214" s="16" t="str">
        <x:v>Given the PAULUS Build audit log timeline and category filter interface task is implemented, the feature should meet the approved capstone requirements and pass review against its expected behavior.</x:v>
      </x:c>
      <x:c r="D214" s="18" t="n">
        <x:v>0.0013611111111111111</x:v>
      </x:c>
      <x:c r="E214" s="16" t="str">
        <x:v>planning/backlog</x:v>
      </x:c>
      <x:c r="F214" s="17" t="b">
        <x:v>0</x:v>
      </x:c>
    </x:row>
    <x:row r="215">
      <x:c r="A215" s="16" t="str">
        <x:v>DEV-02</x:v>
      </x:c>
      <x:c r="B215" s="16" t="str">
        <x:v>Build field-level change detail panel</x:v>
      </x:c>
      <x:c r="C215" s="16" t="str">
        <x:v>Given the PAULUS Build field-level change detail panel task is implemented, the feature should meet the approved capstone requirements and pass review against its expected behavior.</x:v>
      </x:c>
      <x:c r="D215" s="18" t="n">
        <x:v>0.0013611111111111111</x:v>
      </x:c>
      <x:c r="E215" s="16" t="str">
        <x:v>planning/backlog</x:v>
      </x:c>
      <x:c r="F215" s="17" t="b">
        <x:v>0</x:v>
      </x:c>
    </x:row>
    <x:row r="216">
      <x:c r="A216" s="16" t="str">
        <x:v>DEV-03</x:v>
      </x:c>
      <x:c r="B216" s="16" t="str">
        <x:v>Add audit log CSV export functionality</x:v>
      </x:c>
      <x:c r="C216" s="16" t="str">
        <x:v>Given the PAULUS Add audit log CSV export functionality task is implemented, the feature should meet the approved capstone requirements and pass review against its expected behavior.</x:v>
      </x:c>
      <x:c r="D216" s="18" t="n">
        <x:v>0.0013611111111111111</x:v>
      </x:c>
      <x:c r="E216" s="16" t="str">
        <x:v>planning/backlog</x:v>
      </x:c>
      <x:c r="F216" s="17" t="b">
        <x:v>0</x:v>
      </x:c>
    </x:row>
    <x:row r="217">
      <x:c r="A217" s="16" t="str">
        <x:v>TEST-01</x:v>
      </x:c>
      <x:c r="B217" s="16" t="str">
        <x:v>Test audit log display and field diff rendering</x:v>
      </x:c>
      <x:c r="C217" s="16" t="str">
        <x:v>Given the PAULUS Test audit log display and field diff rendering task is implemented, the feature should meet the approved capstone requirements and pass review against its expected behavior.</x:v>
      </x:c>
      <x:c r="D217" s="18" t="n">
        <x:v>0.0013611111111111111</x:v>
      </x:c>
      <x:c r="E217" s="16" t="str">
        <x:v>planning/backlog</x:v>
      </x:c>
      <x:c r="F217" s="17" t="b">
        <x:v>0</x:v>
      </x:c>
    </x:row>
    <x:row r="218">
      <x:c r="A218" s="16" t="str">
        <x:v>FIX-01</x:v>
      </x:c>
      <x:c r="B218" s="16" t="str">
        <x:v>Resolve audit log interface and data issues</x:v>
      </x:c>
      <x:c r="C218" s="16" t="str">
        <x:v>Given the PAULUS Resolve audit log interface and data issues task is implemented, the feature should meet the approved capstone requirements and pass review against its expected behavior.</x:v>
      </x:c>
      <x:c r="D218" s="18" t="n">
        <x:v>0.0013611111111111111</x:v>
      </x:c>
      <x:c r="E218" s="16" t="str">
        <x:v>planning/backlog</x:v>
      </x:c>
      <x:c r="F218" s="17" t="b">
        <x:v>0</x:v>
      </x:c>
    </x:row>
    <x:row r="219">
      <x:c r="A219" s="16" t="str">
        <x:v>UAT-01</x:v>
      </x:c>
      <x:c r="B219" s="16" t="str">
        <x:v>Validate audit log visibility with admin users</x:v>
      </x:c>
      <x:c r="C219" s="16" t="str">
        <x:v>Given the PAULUS Validate audit log visibility with admin users task is implemented, the feature should meet the approved capstone requirements and pass review against its expected behavior.</x:v>
      </x:c>
      <x:c r="D219" s="18" t="n">
        <x:v>0.0013611111111111111</x:v>
      </x:c>
      <x:c r="E219" s="16" t="str">
        <x:v>planning/backlog</x:v>
      </x:c>
      <x:c r="F219" s="17" t="b">
        <x:v>0</x:v>
      </x:c>
    </x:row>
    <x:row r="220">
      <x:c r="A220" s="16" t="str">
        <x:v>MS-01</x:v>
      </x:c>
      <x:c r="B220" s="16" t="str">
        <x:v>Document audit log interface in Chapter 4</x:v>
      </x:c>
      <x:c r="C220" s="16" t="str">
        <x:v>Given the PAULUS Document audit log interface in Chapter 4 task is implemented, the feature should meet the approved capstone requirements and pass review against its expected behavior.</x:v>
      </x:c>
      <x:c r="D220" s="18" t="n">
        <x:v>0.0013611111111111111</x:v>
      </x:c>
      <x:c r="E220" s="16" t="str">
        <x:v>planning/backlog</x:v>
      </x:c>
      <x:c r="F220" s="17" t="b">
        <x:v>0</x:v>
      </x:c>
    </x:row>
    <x:row r="221">
      <x:c r="A221" s="26" t="str">
        <x:v>Total Accomplished</x:v>
      </x:c>
      <x:c r="B221" s="26" t="str"/>
      <x:c r="C221" s="26" t="str"/>
      <x:c r="D221" s="27" t="n">
        <x:f>SUM(D212:D220)</x:f>
        <x:v>0.012250000000000002</x:v>
      </x:c>
      <x:c r="E221" s="27" t="str"/>
      <x:c r="F221" s="27" t="n">
        <x:f>SUMIF(F212:F220, TRUE, D212:D220)</x:f>
        <x:v>0</x:v>
      </x:c>
    </x:row>
    <x:row r="223">
      <x:c r="A223" s="4" t="str">
        <x:v>Task ID</x:v>
      </x:c>
      <x:c r="B223" s="4" t="str">
        <x:v>ADMIN</x:v>
      </x:c>
      <x:c r="C223" s="4" t="str">
        <x:v>Task Name</x:v>
      </x:c>
      <x:c r="D223" s="4" t="str">
        <x:v>Admin Management Interface</x:v>
      </x:c>
      <x:c r="E223" s="4" t="str">
        <x:v>ClickUp Status</x:v>
      </x:c>
      <x:c r="F223" s="4" t="str">
        <x:v>for qa / internal testing</x:v>
      </x:c>
    </x:row>
    <x:row r="224">
      <x:c r="A224" s="8" t="str">
        <x:v>Subtask ID</x:v>
      </x:c>
      <x:c r="B224" s="8" t="str">
        <x:v>Subtask / Task Name</x:v>
      </x:c>
      <x:c r="C224" s="8" t="str">
        <x:v>Acceptance Criteria</x:v>
      </x:c>
      <x:c r="D224" s="8" t="str">
        <x:v>Weight Allocation</x:v>
      </x:c>
      <x:c r="E224" s="8" t="str">
        <x:v>ClickUp Status</x:v>
      </x:c>
      <x:c r="F224" s="8" t="str">
        <x:v>Accepted</x:v>
      </x:c>
    </x:row>
    <x:row r="225">
      <x:c r="A225" s="16" t="str">
        <x:v>REQ-01</x:v>
      </x:c>
      <x:c r="B225" s="16" t="str">
        <x:v>Define admin management requirements</x:v>
      </x:c>
      <x:c r="C225" s="16" t="str">
        <x:v>Given the PAULUS Define admin management requirements task is implemented, the feature should meet the approved capstone requirements and pass review against its expected behavior.</x:v>
      </x:c>
      <x:c r="D225" s="18" t="n">
        <x:v>0.0013611111111111111</x:v>
      </x:c>
      <x:c r="E225" s="16" t="str">
        <x:v>planning/backlog</x:v>
      </x:c>
      <x:c r="F225" s="17" t="b">
        <x:v>0</x:v>
      </x:c>
    </x:row>
    <x:row r="226">
      <x:c r="A226" s="16" t="str">
        <x:v>DES-01</x:v>
      </x:c>
      <x:c r="B226" s="16" t="str">
        <x:v>Design admin management interface</x:v>
      </x:c>
      <x:c r="C226" s="16" t="str">
        <x:v>Given the PAULUS Design admin management interface task is implemented, the feature should meet the approved capstone requirements and pass review against its expected behavior.</x:v>
      </x:c>
      <x:c r="D226" s="18" t="n">
        <x:v>0.0013611111111111111</x:v>
      </x:c>
      <x:c r="E226" s="16" t="str">
        <x:v>planning/backlog</x:v>
      </x:c>
      <x:c r="F226" s="17" t="b">
        <x:v>0</x:v>
      </x:c>
    </x:row>
    <x:row r="227">
      <x:c r="A227" s="16" t="str">
        <x:v>DEV-01</x:v>
      </x:c>
      <x:c r="B227" s="16" t="str">
        <x:v>Build user management page</x:v>
      </x:c>
      <x:c r="C227" s="16" t="str">
        <x:v>Given the PAULUS Build user management page task is implemented, the feature should meet the approved capstone requirements and pass review against its expected behavior.</x:v>
      </x:c>
      <x:c r="D227" s="18" t="n">
        <x:v>0.0013611111111111111</x:v>
      </x:c>
      <x:c r="E227" s="16" t="str">
        <x:v>planning/backlog</x:v>
      </x:c>
      <x:c r="F227" s="17" t="b">
        <x:v>0</x:v>
      </x:c>
    </x:row>
    <x:row r="228">
      <x:c r="A228" s="16" t="str">
        <x:v>DEV-02</x:v>
      </x:c>
      <x:c r="B228" s="16" t="str">
        <x:v>Build role and permission management page</x:v>
      </x:c>
      <x:c r="C228" s="16" t="str">
        <x:v>Given the PAULUS Build role and permission management page task is implemented, the feature should meet the approved capstone requirements and pass review against its expected behavior.</x:v>
      </x:c>
      <x:c r="D228" s="18" t="n">
        <x:v>0.0013611111111111111</x:v>
      </x:c>
      <x:c r="E228" s="16" t="str">
        <x:v>planning/backlog</x:v>
      </x:c>
      <x:c r="F228" s="17" t="b">
        <x:v>0</x:v>
      </x:c>
    </x:row>
    <x:row r="229">
      <x:c r="A229" s="16" t="str">
        <x:v>DEV-03</x:v>
      </x:c>
      <x:c r="B229" s="16" t="str">
        <x:v>Connect admin interface to backend APIs</x:v>
      </x:c>
      <x:c r="C229" s="16" t="str">
        <x:v>Given the PAULUS Connect admin interface to backend APIs task is implemented, the feature should meet the approved capstone requirements and pass review against its expected behavior.</x:v>
      </x:c>
      <x:c r="D229" s="18" t="n">
        <x:v>0.0013611111111111111</x:v>
      </x:c>
      <x:c r="E229" s="16" t="str">
        <x:v>planning/backlog</x:v>
      </x:c>
      <x:c r="F229" s="17" t="b">
        <x:v>0</x:v>
      </x:c>
    </x:row>
    <x:row r="230">
      <x:c r="A230" s="16" t="str">
        <x:v>TEST-01</x:v>
      </x:c>
      <x:c r="B230" s="16" t="str">
        <x:v>Test admin management actions</x:v>
      </x:c>
      <x:c r="C230" s="16" t="str">
        <x:v>Given the PAULUS Test admin management actions task is implemented, the feature should meet the approved capstone requirements and pass review against its expected behavior.</x:v>
      </x:c>
      <x:c r="D230" s="18" t="n">
        <x:v>0.0013611111111111111</x:v>
      </x:c>
      <x:c r="E230" s="16" t="str">
        <x:v>planning/backlog</x:v>
      </x:c>
      <x:c r="F230" s="17" t="b">
        <x:v>0</x:v>
      </x:c>
    </x:row>
    <x:row r="231">
      <x:c r="A231" s="16" t="str">
        <x:v>FIX-01</x:v>
      </x:c>
      <x:c r="B231" s="16" t="str">
        <x:v>Resolve admin interface and permission issues</x:v>
      </x:c>
      <x:c r="C231" s="16" t="str">
        <x:v>Given the PAULUS Resolve admin interface and permission issues task is implemented, the feature should meet the approved capstone requirements and pass review against its expected behavior.</x:v>
      </x:c>
      <x:c r="D231" s="18" t="n">
        <x:v>0.0013611111111111111</x:v>
      </x:c>
      <x:c r="E231" s="16" t="str">
        <x:v>planning/backlog</x:v>
      </x:c>
      <x:c r="F231" s="17" t="b">
        <x:v>0</x:v>
      </x:c>
    </x:row>
    <x:row r="232">
      <x:c r="A232" s="16" t="str">
        <x:v>UAT-01</x:v>
      </x:c>
      <x:c r="B232" s="16" t="str">
        <x:v>Validate admin management with authorized users</x:v>
      </x:c>
      <x:c r="C232" s="16" t="str">
        <x:v>Given the PAULUS Validate admin management with authorized users task is implemented, the feature should meet the approved capstone requirements and pass review against its expected behavior.</x:v>
      </x:c>
      <x:c r="D232" s="18" t="n">
        <x:v>0.0013611111111111111</x:v>
      </x:c>
      <x:c r="E232" s="16" t="str">
        <x:v>planning/backlog</x:v>
      </x:c>
      <x:c r="F232" s="17" t="b">
        <x:v>0</x:v>
      </x:c>
    </x:row>
    <x:row r="233">
      <x:c r="A233" s="16" t="str">
        <x:v>MS-01</x:v>
      </x:c>
      <x:c r="B233" s="16" t="str">
        <x:v>Document admin management module</x:v>
      </x:c>
      <x:c r="C233" s="16" t="str">
        <x:v>Given the PAULUS Document admin management module task is implemented, the feature should meet the approved capstone requirements and pass review against its expected behavior.</x:v>
      </x:c>
      <x:c r="D233" s="18" t="n">
        <x:v>0.0013611111111111111</x:v>
      </x:c>
      <x:c r="E233" s="16" t="str">
        <x:v>planning/backlog</x:v>
      </x:c>
      <x:c r="F233" s="17" t="b">
        <x:v>0</x:v>
      </x:c>
    </x:row>
    <x:row r="234">
      <x:c r="A234" s="26" t="str">
        <x:v>Total Accomplished</x:v>
      </x:c>
      <x:c r="B234" s="26" t="str"/>
      <x:c r="C234" s="26" t="str"/>
      <x:c r="D234" s="27" t="n">
        <x:f>SUM(D225:D233)</x:f>
        <x:v>0.012250000000000002</x:v>
      </x:c>
      <x:c r="E234" s="27" t="str"/>
      <x:c r="F234" s="27" t="n">
        <x:f>SUMIF(F225:F233, TRUE, D225:D233)</x:f>
        <x:v>0</x:v>
      </x:c>
    </x:row>
    <x:row r="236">
      <x:c r="A236" s="4" t="str">
        <x:v>Task ID</x:v>
      </x:c>
      <x:c r="B236" s="4" t="str">
        <x:v>ARCHIVES</x:v>
      </x:c>
      <x:c r="C236" s="4" t="str">
        <x:v>Task Name</x:v>
      </x:c>
      <x:c r="D236" s="4" t="str">
        <x:v>Archives Page / Archive Management</x:v>
      </x:c>
      <x:c r="E236" s="4" t="str">
        <x:v>ClickUp Status</x:v>
      </x:c>
      <x:c r="F236" s="4" t="str">
        <x:v>planning/backlog</x:v>
      </x:c>
    </x:row>
    <x:row r="237">
      <x:c r="A237" s="8" t="str">
        <x:v>Subtask ID</x:v>
      </x:c>
      <x:c r="B237" s="8" t="str">
        <x:v>Subtask / Task Name</x:v>
      </x:c>
      <x:c r="C237" s="8" t="str">
        <x:v>Acceptance Criteria</x:v>
      </x:c>
      <x:c r="D237" s="8" t="str">
        <x:v>Weight Allocation</x:v>
      </x:c>
      <x:c r="E237" s="8" t="str">
        <x:v>ClickUp Status</x:v>
      </x:c>
      <x:c r="F237" s="8" t="str">
        <x:v>Accepted</x:v>
      </x:c>
    </x:row>
    <x:row r="238">
      <x:c r="A238" s="16" t="str">
        <x:v>REQ-01</x:v>
      </x:c>
      <x:c r="B238" s="16" t="str">
        <x:v>Define archive UI requirements</x:v>
      </x:c>
      <x:c r="C238" s="16" t="str">
        <x:v>Given the PAULUS Define archive UI requirements task is implemented, the feature should meet the approved capstone requirements and pass review against its expected behavior.</x:v>
      </x:c>
      <x:c r="D238" s="18" t="n">
        <x:v>0.00175</x:v>
      </x:c>
      <x:c r="E238" s="16" t="str">
        <x:v>planning/backlog</x:v>
      </x:c>
      <x:c r="F238" s="17" t="b">
        <x:v>0</x:v>
      </x:c>
    </x:row>
    <x:row r="239">
      <x:c r="A239" s="16" t="str">
        <x:v>DES-01</x:v>
      </x:c>
      <x:c r="B239" s="16" t="str">
        <x:v>Design archive listing and restore workflow</x:v>
      </x:c>
      <x:c r="C239" s="16" t="str">
        <x:v>Given the PAULUS Design archive listing and restore workflow task is implemented, the feature should meet the approved capstone requirements and pass review against its expected behavior.</x:v>
      </x:c>
      <x:c r="D239" s="18" t="n">
        <x:v>0.00175</x:v>
      </x:c>
      <x:c r="E239" s="16" t="str">
        <x:v>planning/backlog</x:v>
      </x:c>
      <x:c r="F239" s="17" t="b">
        <x:v>0</x:v>
      </x:c>
    </x:row>
    <x:row r="240">
      <x:c r="A240" s="16" t="str">
        <x:v>DEV-01</x:v>
      </x:c>
      <x:c r="B240" s="16" t="str">
        <x:v>Build archive listing and restore controls</x:v>
      </x:c>
      <x:c r="C240" s="16" t="str">
        <x:v>Given the PAULUS Build archive listing and restore controls task is implemented, the feature should meet the approved capstone requirements and pass review against its expected behavior.</x:v>
      </x:c>
      <x:c r="D240" s="18" t="n">
        <x:v>0.00175</x:v>
      </x:c>
      <x:c r="E240" s="16" t="str">
        <x:v>planning/backlog</x:v>
      </x:c>
      <x:c r="F240" s="17" t="b">
        <x:v>0</x:v>
      </x:c>
    </x:row>
    <x:row r="241">
      <x:c r="A241" s="16" t="str">
        <x:v>TEST-01</x:v>
      </x:c>
      <x:c r="B241" s="16" t="str">
        <x:v>Test archive and restore workflows for supported records</x:v>
      </x:c>
      <x:c r="C241" s="16" t="str">
        <x:v>Given the PAULUS Test archive and restore workflows for supported records task is implemented, the feature should meet the approved capstone requirements and pass review against its expected behavior.</x:v>
      </x:c>
      <x:c r="D241" s="18" t="n">
        <x:v>0.00175</x:v>
      </x:c>
      <x:c r="E241" s="16" t="str">
        <x:v>planning/backlog</x:v>
      </x:c>
      <x:c r="F241" s="17" t="b">
        <x:v>0</x:v>
      </x:c>
    </x:row>
    <x:row r="242">
      <x:c r="A242" s="16" t="str">
        <x:v>FIX-01</x:v>
      </x:c>
      <x:c r="B242" s="16" t="str">
        <x:v>Resolve archive management UI issues</x:v>
      </x:c>
      <x:c r="C242" s="16" t="str">
        <x:v>Given the PAULUS Resolve archive management UI issues task is implemented, the feature should meet the approved capstone requirements and pass review against its expected behavior.</x:v>
      </x:c>
      <x:c r="D242" s="18" t="n">
        <x:v>0.00175</x:v>
      </x:c>
      <x:c r="E242" s="16" t="str">
        <x:v>planning/backlog</x:v>
      </x:c>
      <x:c r="F242" s="17" t="b">
        <x:v>0</x:v>
      </x:c>
    </x:row>
    <x:row r="243">
      <x:c r="A243" s="16" t="str">
        <x:v>UAT-01</x:v>
      </x:c>
      <x:c r="B243" s="16" t="str">
        <x:v>Validate archive workflows with target users</x:v>
      </x:c>
      <x:c r="C243" s="16" t="str">
        <x:v>Given the PAULUS Validate archive workflows with target users task is implemented, the feature should meet the approved capstone requirements and pass review against its expected behavior.</x:v>
      </x:c>
      <x:c r="D243" s="18" t="n">
        <x:v>0.00175</x:v>
      </x:c>
      <x:c r="E243" s="16" t="str">
        <x:v>planning/backlog</x:v>
      </x:c>
      <x:c r="F243" s="17" t="b">
        <x:v>0</x:v>
      </x:c>
    </x:row>
    <x:row r="244">
      <x:c r="A244" s="16" t="str">
        <x:v>MS-01</x:v>
      </x:c>
      <x:c r="B244" s="16" t="str">
        <x:v>Document archive management feature in Chapter 4</x:v>
      </x:c>
      <x:c r="C244" s="16" t="str">
        <x:v>Given the PAULUS Document archive management feature in Chapter 4 task is implemented, the feature should meet the approved capstone requirements and pass review against its expected behavior.</x:v>
      </x:c>
      <x:c r="D244" s="18" t="n">
        <x:v>0.00175</x:v>
      </x:c>
      <x:c r="E244" s="16" t="str">
        <x:v>planning/backlog</x:v>
      </x:c>
      <x:c r="F244" s="17" t="b">
        <x:v>0</x:v>
      </x:c>
    </x:row>
    <x:row r="245">
      <x:c r="A245" s="26" t="str">
        <x:v>Total Accomplished</x:v>
      </x:c>
      <x:c r="B245" s="26" t="str"/>
      <x:c r="C245" s="26" t="str"/>
      <x:c r="D245" s="27" t="n">
        <x:f>SUM(D238:D244)</x:f>
        <x:v>0.01225</x:v>
      </x:c>
      <x:c r="E245" s="27" t="str"/>
      <x:c r="F245" s="27" t="n">
        <x:f>SUMIF(F238:F244, TRUE, D238:D244)</x:f>
        <x:v>0</x:v>
      </x:c>
    </x:row>
    <x:row r="248">
      <x:c r="A248" s="34" t="str">
        <x:v>Module Accomplishment</x:v>
      </x:c>
      <x:c r="B248" s="34" t="str">
        <x:v>MOD-FE</x:v>
      </x:c>
      <x:c r="C248" s="34" t="str">
        <x:v>Frontend User Interface</x:v>
      </x:c>
      <x:c r="D248" s="35" t="n">
        <x:v>0.245</x:v>
      </x:c>
      <x:c r="E248" s="35" t="str"/>
      <x:c r="F248" s="35" t="n">
        <x:f>SUM('MOD-FE'!F11,'MOD-FE'!F25,'MOD-FE'!F36,'MOD-FE'!F49,'MOD-FE'!F60,'MOD-FE'!F71,'MOD-FE'!F82,'MOD-FE'!F95,'MOD-FE'!F108,'MOD-FE'!F121,'MOD-FE'!F132,'MOD-FE'!F145,'MOD-FE'!F160,'MOD-FE'!F173,'MOD-FE'!F184,'MOD-FE'!F195,'MOD-FE'!F208,'MOD-FE'!F221,'MOD-FE'!F234,'MOD-FE'!F245)</x:f>
        <x:v>0</x:v>
      </x:c>
    </x:row>
  </x:sheetData>
  <x:dataValidations count="20">
    <x:dataValidation type="list" sqref="F3:F10">
      <x:formula1>"TRUE,FALSE"</x:formula1>
    </x:dataValidation>
    <x:dataValidation type="list" sqref="F15:F24">
      <x:formula1>"TRUE,FALSE"</x:formula1>
    </x:dataValidation>
    <x:dataValidation type="list" sqref="F29:F35">
      <x:formula1>"TRUE,FALSE"</x:formula1>
    </x:dataValidation>
    <x:dataValidation type="list" sqref="F40:F48">
      <x:formula1>"TRUE,FALSE"</x:formula1>
    </x:dataValidation>
    <x:dataValidation type="list" sqref="F53:F59">
      <x:formula1>"TRUE,FALSE"</x:formula1>
    </x:dataValidation>
    <x:dataValidation type="list" sqref="F64:F70">
      <x:formula1>"TRUE,FALSE"</x:formula1>
    </x:dataValidation>
    <x:dataValidation type="list" sqref="F75:F81">
      <x:formula1>"TRUE,FALSE"</x:formula1>
    </x:dataValidation>
    <x:dataValidation type="list" sqref="F86:F94">
      <x:formula1>"TRUE,FALSE"</x:formula1>
    </x:dataValidation>
    <x:dataValidation type="list" sqref="F99:F107">
      <x:formula1>"TRUE,FALSE"</x:formula1>
    </x:dataValidation>
    <x:dataValidation type="list" sqref="F112:F120">
      <x:formula1>"TRUE,FALSE"</x:formula1>
    </x:dataValidation>
    <x:dataValidation type="list" sqref="F125:F131">
      <x:formula1>"TRUE,FALSE"</x:formula1>
    </x:dataValidation>
    <x:dataValidation type="list" sqref="F136:F144">
      <x:formula1>"TRUE,FALSE"</x:formula1>
    </x:dataValidation>
    <x:dataValidation type="list" sqref="F149:F159">
      <x:formula1>"TRUE,FALSE"</x:formula1>
    </x:dataValidation>
    <x:dataValidation type="list" sqref="F164:F172">
      <x:formula1>"TRUE,FALSE"</x:formula1>
    </x:dataValidation>
    <x:dataValidation type="list" sqref="F177:F183">
      <x:formula1>"TRUE,FALSE"</x:formula1>
    </x:dataValidation>
    <x:dataValidation type="list" sqref="F188:F194">
      <x:formula1>"TRUE,FALSE"</x:formula1>
    </x:dataValidation>
    <x:dataValidation type="list" sqref="F199:F207">
      <x:formula1>"TRUE,FALSE"</x:formula1>
    </x:dataValidation>
    <x:dataValidation type="list" sqref="F212:F220">
      <x:formula1>"TRUE,FALSE"</x:formula1>
    </x:dataValidation>
    <x:dataValidation type="list" sqref="F225:F233">
      <x:formula1>"TRUE,FALSE"</x:formula1>
    </x:dataValidation>
    <x:dataValidation type="list" sqref="F238:F244">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32.5" hidden="0" customWidth="1"/>
    <x:col min="3" max="3" width="53.75" hidden="0" customWidth="1"/>
    <x:col min="4" max="4" width="15" hidden="0" customWidth="1"/>
    <x:col min="5" max="5" width="16.8799991607666" hidden="0" customWidth="1"/>
    <x:col min="6" max="6" width="16.8799991607666" hidden="0" customWidth="1"/>
  </x:cols>
  <x:sheetData>
    <x:row r="1">
      <x:c r="A1" s="4" t="str">
        <x:v>Task ID</x:v>
      </x:c>
      <x:c r="B1" s="4" t="str">
        <x:v>AUTH</x:v>
      </x:c>
      <x:c r="C1" s="4" t="str">
        <x:v>Task Name</x:v>
      </x:c>
      <x:c r="D1" s="4" t="str">
        <x:v>Authentication and Role Access API</x:v>
      </x:c>
      <x:c r="E1" s="4" t="str">
        <x:v>ClickUp Status</x:v>
      </x:c>
      <x:c r="F1" s="4" t="str">
        <x:v>in progress</x:v>
      </x:c>
    </x:row>
    <x:row r="2">
      <x:c r="A2" s="8" t="str">
        <x:v>Subtask ID</x:v>
      </x:c>
      <x:c r="B2" s="8" t="str">
        <x:v>Subtask / Task Name</x:v>
      </x:c>
      <x:c r="C2" s="8" t="str">
        <x:v>Acceptance Criteria</x:v>
      </x:c>
      <x:c r="D2" s="8" t="str">
        <x:v>Weight Allocation</x:v>
      </x:c>
      <x:c r="E2" s="8" t="str">
        <x:v>ClickUp Status</x:v>
      </x:c>
      <x:c r="F2" s="8" t="str">
        <x:v>Accepted</x:v>
      </x:c>
    </x:row>
    <x:row r="3">
      <x:c r="A3" s="16" t="str">
        <x:v>REQ-01</x:v>
      </x:c>
      <x:c r="B3" s="16" t="str">
        <x:v>Define authentication and role access requirements</x:v>
      </x:c>
      <x:c r="C3" s="16" t="str">
        <x:v>Given the PAULUS Define authentication and role access requirements task is implemented, the feature should meet the approved capstone requirements and pass review against its expected behavior.</x:v>
      </x:c>
      <x:c r="D3" s="18" t="n">
        <x:v>0.0016319444444444443</x:v>
      </x:c>
      <x:c r="E3" s="16" t="str">
        <x:v>planning/backlog</x:v>
      </x:c>
      <x:c r="F3" s="17" t="b">
        <x:v>0</x:v>
      </x:c>
    </x:row>
    <x:row r="4">
      <x:c r="A4" s="16" t="str">
        <x:v>DES-01</x:v>
      </x:c>
      <x:c r="B4" s="16" t="str">
        <x:v>Create authentication flow diagram</x:v>
      </x:c>
      <x:c r="C4" s="16" t="str">
        <x:v>Given the PAULUS Create authentication flow diagram task is implemented, the feature should meet the approved capstone requirements and pass review against its expected behavior.</x:v>
      </x:c>
      <x:c r="D4" s="18" t="n">
        <x:v>0.0016319444444444443</x:v>
      </x:c>
      <x:c r="E4" s="16" t="str">
        <x:v>planning/backlog</x:v>
      </x:c>
      <x:c r="F4" s="17" t="b">
        <x:v>0</x:v>
      </x:c>
    </x:row>
    <x:row r="5">
      <x:c r="A5" s="16" t="str">
        <x:v>DEV-01</x:v>
      </x:c>
      <x:c r="B5" s="16" t="str">
        <x:v>Implement login endpoint</x:v>
      </x:c>
      <x:c r="C5" s="16" t="str">
        <x:v>Given the PAULUS Implement login endpoint task is implemented, the feature should meet the approved capstone requirements and pass review against its expected behavior.</x:v>
      </x:c>
      <x:c r="D5" s="18" t="n">
        <x:v>0.0016319444444444443</x:v>
      </x:c>
      <x:c r="E5" s="16" t="str">
        <x:v>planning/backlog</x:v>
      </x:c>
      <x:c r="F5" s="17" t="b">
        <x:v>0</x:v>
      </x:c>
    </x:row>
    <x:row r="6">
      <x:c r="A6" s="16" t="str">
        <x:v>DEV-02</x:v>
      </x:c>
      <x:c r="B6" s="16" t="str">
        <x:v>Implement logout and session handling</x:v>
      </x:c>
      <x:c r="C6" s="16" t="str">
        <x:v>Given the PAULUS Implement logout and session handling task is implemented, the feature should meet the approved capstone requirements and pass review against its expected behavior.</x:v>
      </x:c>
      <x:c r="D6" s="18" t="n">
        <x:v>0.0016319444444444443</x:v>
      </x:c>
      <x:c r="E6" s="16" t="str">
        <x:v>planning/backlog</x:v>
      </x:c>
      <x:c r="F6" s="17" t="b">
        <x:v>0</x:v>
      </x:c>
    </x:row>
    <x:row r="7">
      <x:c r="A7" s="16" t="str">
        <x:v>DEV-03</x:v>
      </x:c>
      <x:c r="B7" s="16" t="str">
        <x:v>Implement role-based access control</x:v>
      </x:c>
      <x:c r="C7" s="16" t="str">
        <x:v>Given the PAULUS Implement role-based access control task is implemented, the feature should meet the approved capstone requirements and pass review against its expected behavior.</x:v>
      </x:c>
      <x:c r="D7" s="18" t="n">
        <x:v>0.0016319444444444443</x:v>
      </x:c>
      <x:c r="E7" s="16" t="str">
        <x:v>planning/backlog</x:v>
      </x:c>
      <x:c r="F7" s="17" t="b">
        <x:v>0</x:v>
      </x:c>
    </x:row>
    <x:row r="8">
      <x:c r="A8" s="16" t="str">
        <x:v>TEST-01</x:v>
      </x:c>
      <x:c r="B8" s="16" t="str">
        <x:v>Test valid and invalid authentication attempts</x:v>
      </x:c>
      <x:c r="C8" s="16" t="str">
        <x:v>Given the PAULUS Test valid and invalid authentication attempts task is implemented, the feature should meet the approved capstone requirements and pass review against its expected behavior.</x:v>
      </x:c>
      <x:c r="D8" s="18" t="n">
        <x:v>0.0016319444444444443</x:v>
      </x:c>
      <x:c r="E8" s="16" t="str">
        <x:v>planning/backlog</x:v>
      </x:c>
      <x:c r="F8" s="17" t="b">
        <x:v>0</x:v>
      </x:c>
    </x:row>
    <x:row r="9">
      <x:c r="A9" s="16" t="str">
        <x:v>FIX-01</x:v>
      </x:c>
      <x:c r="B9" s="16" t="str">
        <x:v>Resolve authentication and session issues</x:v>
      </x:c>
      <x:c r="C9" s="16" t="str">
        <x:v>Given the PAULUS Resolve authentication and session issues task is implemented, the feature should meet the approved capstone requirements and pass review against its expected behavior.</x:v>
      </x:c>
      <x:c r="D9" s="18" t="n">
        <x:v>0.0016319444444444443</x:v>
      </x:c>
      <x:c r="E9" s="16" t="str">
        <x:v>planning/backlog</x:v>
      </x:c>
      <x:c r="F9" s="17" t="b">
        <x:v>0</x:v>
      </x:c>
    </x:row>
    <x:row r="10">
      <x:c r="A10" s="16" t="str">
        <x:v>UAT-01</x:v>
      </x:c>
      <x:c r="B10" s="16" t="str">
        <x:v>Validate user access based on assigned roles</x:v>
      </x:c>
      <x:c r="C10" s="16" t="str">
        <x:v>Given the PAULUS Validate user access based on assigned roles task is implemented, the feature should meet the approved capstone requirements and pass review against its expected behavior.</x:v>
      </x:c>
      <x:c r="D10" s="18" t="n">
        <x:v>0.0016319444444444443</x:v>
      </x:c>
      <x:c r="E10" s="16" t="str">
        <x:v>planning/backlog</x:v>
      </x:c>
      <x:c r="F10" s="17" t="b">
        <x:v>0</x:v>
      </x:c>
    </x:row>
    <x:row r="11">
      <x:c r="A11" s="16" t="str">
        <x:v>MS-01</x:v>
      </x:c>
      <x:c r="B11" s="16" t="str">
        <x:v>Document authentication and role access process</x:v>
      </x:c>
      <x:c r="C11" s="16" t="str">
        <x:v>Given the PAULUS Document authentication and role access process task is implemented, the feature should meet the approved capstone requirements and pass review against its expected behavior.</x:v>
      </x:c>
      <x:c r="D11" s="18" t="n">
        <x:v>0.0016319444444444443</x:v>
      </x:c>
      <x:c r="E11" s="16" t="str">
        <x:v>planning/backlog</x:v>
      </x:c>
      <x:c r="F11" s="17" t="b">
        <x:v>0</x:v>
      </x:c>
    </x:row>
    <x:row r="12">
      <x:c r="A12" s="26" t="str">
        <x:v>Total Accomplished</x:v>
      </x:c>
      <x:c r="B12" s="26" t="str"/>
      <x:c r="C12" s="26" t="str"/>
      <x:c r="D12" s="27" t="n">
        <x:f>SUM(D3:D11)</x:f>
        <x:v>0.0146875</x:v>
      </x:c>
      <x:c r="E12" s="27" t="str"/>
      <x:c r="F12" s="27" t="n">
        <x:f>SUMIF(F3:F11, TRUE, D3:D11)</x:f>
        <x:v>0</x:v>
      </x:c>
    </x:row>
    <x:row r="14">
      <x:c r="A14" s="4" t="str">
        <x:v>Task ID</x:v>
      </x:c>
      <x:c r="B14" s="4" t="str">
        <x:v>INSTAPI</x:v>
      </x:c>
      <x:c r="C14" s="4" t="str">
        <x:v>Task Name</x:v>
      </x:c>
      <x:c r="D14" s="4" t="str">
        <x:v>Institution Management API</x:v>
      </x:c>
      <x:c r="E14" s="4" t="str">
        <x:v>ClickUp Status</x:v>
      </x:c>
      <x:c r="F14" s="4" t="str">
        <x:v>for qa / internal testing</x:v>
      </x:c>
    </x:row>
    <x:row r="15">
      <x:c r="A15" s="8" t="str">
        <x:v>Subtask ID</x:v>
      </x:c>
      <x:c r="B15" s="8" t="str">
        <x:v>Subtask / Task Name</x:v>
      </x:c>
      <x:c r="C15" s="8" t="str">
        <x:v>Acceptance Criteria</x:v>
      </x:c>
      <x:c r="D15" s="8" t="str">
        <x:v>Weight Allocation</x:v>
      </x:c>
      <x:c r="E15" s="8" t="str">
        <x:v>ClickUp Status</x:v>
      </x:c>
      <x:c r="F15" s="8" t="str">
        <x:v>Accepted</x:v>
      </x:c>
    </x:row>
    <x:row r="16">
      <x:c r="A16" s="16" t="str">
        <x:v>REQ-01</x:v>
      </x:c>
      <x:c r="B16" s="16" t="str">
        <x:v>Define institution API requirements</x:v>
      </x:c>
      <x:c r="C16" s="16" t="str">
        <x:v>Given the PAULUS Define institution API requirements task is implemented, the feature should meet the approved capstone requirements and pass review against its expected behavior.</x:v>
      </x:c>
      <x:c r="D16" s="18" t="n">
        <x:v>0.0018359375</x:v>
      </x:c>
      <x:c r="E16" s="16" t="str">
        <x:v>planning/backlog</x:v>
      </x:c>
      <x:c r="F16" s="17" t="b">
        <x:v>0</x:v>
      </x:c>
    </x:row>
    <x:row r="17">
      <x:c r="A17" s="16" t="str">
        <x:v>DES-01</x:v>
      </x:c>
      <x:c r="B17" s="16" t="str">
        <x:v>Design institution API structure</x:v>
      </x:c>
      <x:c r="C17" s="16" t="str">
        <x:v>Given the PAULUS Design institution API structure task is implemented, the feature should meet the approved capstone requirements and pass review against its expected behavior.</x:v>
      </x:c>
      <x:c r="D17" s="18" t="n">
        <x:v>0.0018359375</x:v>
      </x:c>
      <x:c r="E17" s="16" t="str">
        <x:v>planning/backlog</x:v>
      </x:c>
      <x:c r="F17" s="17" t="b">
        <x:v>0</x:v>
      </x:c>
    </x:row>
    <x:row r="18">
      <x:c r="A18" s="16" t="str">
        <x:v>DEV-01</x:v>
      </x:c>
      <x:c r="B18" s="16" t="str">
        <x:v>Implement create institution endpoint</x:v>
      </x:c>
      <x:c r="C18" s="16" t="str">
        <x:v>Given the PAULUS Implement create institution endpoint task is implemented, the feature should meet the approved capstone requirements and pass review against its expected behavior.</x:v>
      </x:c>
      <x:c r="D18" s="18" t="n">
        <x:v>0.0018359375</x:v>
      </x:c>
      <x:c r="E18" s="16" t="str">
        <x:v>planning/backlog</x:v>
      </x:c>
      <x:c r="F18" s="17" t="b">
        <x:v>0</x:v>
      </x:c>
    </x:row>
    <x:row r="19">
      <x:c r="A19" s="16" t="str">
        <x:v>DEV-02</x:v>
      </x:c>
      <x:c r="B19" s="16" t="str">
        <x:v>Implement view and update institution endpoints</x:v>
      </x:c>
      <x:c r="C19" s="16" t="str">
        <x:v>Given the PAULUS Implement view and update institution endpoints task is implemented, the feature should meet the approved capstone requirements and pass review against its expected behavior.</x:v>
      </x:c>
      <x:c r="D19" s="18" t="n">
        <x:v>0.0018359375</x:v>
      </x:c>
      <x:c r="E19" s="16" t="str">
        <x:v>planning/backlog</x:v>
      </x:c>
      <x:c r="F19" s="17" t="b">
        <x:v>0</x:v>
      </x:c>
    </x:row>
    <x:row r="20">
      <x:c r="A20" s="16" t="str">
        <x:v>DEV-03</x:v>
      </x:c>
      <x:c r="B20" s="16" t="str">
        <x:v>Implement institution status and category logic</x:v>
      </x:c>
      <x:c r="C20" s="16" t="str">
        <x:v>Given the PAULUS Implement institution status and category logic task is implemented, the feature should meet the approved capstone requirements and pass review against its expected behavior.</x:v>
      </x:c>
      <x:c r="D20" s="18" t="n">
        <x:v>0.0018359375</x:v>
      </x:c>
      <x:c r="E20" s="16" t="str">
        <x:v>planning/backlog</x:v>
      </x:c>
      <x:c r="F20" s="17" t="b">
        <x:v>0</x:v>
      </x:c>
    </x:row>
    <x:row r="21">
      <x:c r="A21" s="16" t="str">
        <x:v>TEST-01</x:v>
      </x:c>
      <x:c r="B21" s="16" t="str">
        <x:v>Test institution API requests and responses</x:v>
      </x:c>
      <x:c r="C21" s="16" t="str">
        <x:v>Given the PAULUS Test institution API requests and responses task is implemented, the feature should meet the approved capstone requirements and pass review against its expected behavior.</x:v>
      </x:c>
      <x:c r="D21" s="18" t="n">
        <x:v>0.0018359375</x:v>
      </x:c>
      <x:c r="E21" s="16" t="str">
        <x:v>planning/backlog</x:v>
      </x:c>
      <x:c r="F21" s="17" t="b">
        <x:v>0</x:v>
      </x:c>
    </x:row>
    <x:row r="22">
      <x:c r="A22" s="16" t="str">
        <x:v>FIX-01</x:v>
      </x:c>
      <x:c r="B22" s="16" t="str">
        <x:v>Resolve institution API errors</x:v>
      </x:c>
      <x:c r="C22" s="16" t="str">
        <x:v>Given the PAULUS Resolve institution API errors task is implemented, the feature should meet the approved capstone requirements and pass review against its expected behavior.</x:v>
      </x:c>
      <x:c r="D22" s="18" t="n">
        <x:v>0.0018359375</x:v>
      </x:c>
      <x:c r="E22" s="16" t="str">
        <x:v>planning/backlog</x:v>
      </x:c>
      <x:c r="F22" s="17" t="b">
        <x:v>0</x:v>
      </x:c>
    </x:row>
    <x:row r="23">
      <x:c r="A23" s="16" t="str">
        <x:v>MS-01</x:v>
      </x:c>
      <x:c r="B23" s="16" t="str">
        <x:v>Document institution API process</x:v>
      </x:c>
      <x:c r="C23" s="16" t="str">
        <x:v>Given the PAULUS Document institution API process task is implemented, the feature should meet the approved capstone requirements and pass review against its expected behavior.</x:v>
      </x:c>
      <x:c r="D23" s="18" t="n">
        <x:v>0.0018359375</x:v>
      </x:c>
      <x:c r="E23" s="16" t="str">
        <x:v>planning/backlog</x:v>
      </x:c>
      <x:c r="F23" s="17" t="b">
        <x:v>0</x:v>
      </x:c>
    </x:row>
    <x:row r="24">
      <x:c r="A24" s="26" t="str">
        <x:v>Total Accomplished</x:v>
      </x:c>
      <x:c r="B24" s="26" t="str"/>
      <x:c r="C24" s="26" t="str"/>
      <x:c r="D24" s="27" t="n">
        <x:f>SUM(D16:D23)</x:f>
        <x:v>0.014687499999999996</x:v>
      </x:c>
      <x:c r="E24" s="27" t="str"/>
      <x:c r="F24" s="27" t="n">
        <x:f>SUMIF(F16:F23, TRUE, D16:D23)</x:f>
        <x:v>0</x:v>
      </x:c>
    </x:row>
    <x:row r="26">
      <x:c r="A26" s="4" t="str">
        <x:v>Task ID</x:v>
      </x:c>
      <x:c r="B26" s="4" t="str">
        <x:v>PROJAPI</x:v>
      </x:c>
      <x:c r="C26" s="4" t="str">
        <x:v>Task Name</x:v>
      </x:c>
      <x:c r="D26" s="4" t="str">
        <x:v>Projects and Donations API</x:v>
      </x:c>
      <x:c r="E26" s="4" t="str">
        <x:v>ClickUp Status</x:v>
      </x:c>
      <x:c r="F26" s="4" t="str">
        <x:v>in progress</x:v>
      </x:c>
    </x:row>
    <x:row r="27">
      <x:c r="A27" s="8" t="str">
        <x:v>Subtask ID</x:v>
      </x:c>
      <x:c r="B27" s="8" t="str">
        <x:v>Subtask / Task Name</x:v>
      </x:c>
      <x:c r="C27" s="8" t="str">
        <x:v>Acceptance Criteria</x:v>
      </x:c>
      <x:c r="D27" s="8" t="str">
        <x:v>Weight Allocation</x:v>
      </x:c>
      <x:c r="E27" s="8" t="str">
        <x:v>ClickUp Status</x:v>
      </x:c>
      <x:c r="F27" s="8" t="str">
        <x:v>Accepted</x:v>
      </x:c>
    </x:row>
    <x:row r="28">
      <x:c r="A28" s="16" t="str">
        <x:v>REQ-01</x:v>
      </x:c>
      <x:c r="B28" s="16" t="str">
        <x:v>Define projects and donations API requirements</x:v>
      </x:c>
      <x:c r="C28" s="16" t="str">
        <x:v>Given the PAULUS Define projects and donations API requirements task is implemented, the feature should meet the approved capstone requirements and pass review against its expected behavior.</x:v>
      </x:c>
      <x:c r="D28" s="18" t="n">
        <x:v>0.0016319444444444443</x:v>
      </x:c>
      <x:c r="E28" s="16" t="str">
        <x:v>planning/backlog</x:v>
      </x:c>
      <x:c r="F28" s="17" t="b">
        <x:v>0</x:v>
      </x:c>
    </x:row>
    <x:row r="29">
      <x:c r="A29" s="16" t="str">
        <x:v>DES-01</x:v>
      </x:c>
      <x:c r="B29" s="16" t="str">
        <x:v>Design projects and donations API structure</x:v>
      </x:c>
      <x:c r="C29" s="16" t="str">
        <x:v>Given the PAULUS Design projects and donations API structure task is implemented, the feature should meet the approved capstone requirements and pass review against its expected behavior.</x:v>
      </x:c>
      <x:c r="D29" s="18" t="n">
        <x:v>0.0016319444444444443</x:v>
      </x:c>
      <x:c r="E29" s="16" t="str">
        <x:v>planning/backlog</x:v>
      </x:c>
      <x:c r="F29" s="17" t="b">
        <x:v>0</x:v>
      </x:c>
    </x:row>
    <x:row r="30">
      <x:c r="A30" s="16" t="str">
        <x:v>DEV-01</x:v>
      </x:c>
      <x:c r="B30" s="16" t="str">
        <x:v>Implement create and update project endpoints</x:v>
      </x:c>
      <x:c r="C30" s="16" t="str">
        <x:v>Given the PAULUS Implement create and update project endpoints task is implemented, the feature should meet the approved capstone requirements and pass review against its expected behavior.</x:v>
      </x:c>
      <x:c r="D30" s="18" t="n">
        <x:v>0.0016319444444444443</x:v>
      </x:c>
      <x:c r="E30" s="16" t="str">
        <x:v>planning/backlog</x:v>
      </x:c>
      <x:c r="F30" s="17" t="b">
        <x:v>0</x:v>
      </x:c>
    </x:row>
    <x:row r="31">
      <x:c r="A31" s="16" t="str">
        <x:v>DEV-02</x:v>
      </x:c>
      <x:c r="B31" s="16" t="str">
        <x:v>Implement donation and expense recording endpoints</x:v>
      </x:c>
      <x:c r="C31" s="16" t="str">
        <x:v>Given the PAULUS Implement donation and expense recording endpoints task is implemented, the feature should meet the approved capstone requirements and pass review against its expected behavior.</x:v>
      </x:c>
      <x:c r="D31" s="18" t="n">
        <x:v>0.0016319444444444443</x:v>
      </x:c>
      <x:c r="E31" s="16" t="str">
        <x:v>planning/backlog</x:v>
      </x:c>
      <x:c r="F31" s="17" t="b">
        <x:v>0</x:v>
      </x:c>
    </x:row>
    <x:row r="32">
      <x:c r="A32" s="16" t="str">
        <x:v>DEV-03</x:v>
      </x:c>
      <x:c r="B32" s="16" t="str">
        <x:v>Implement project status and health scoring logic</x:v>
      </x:c>
      <x:c r="C32" s="16" t="str">
        <x:v>Given the PAULUS Implement project status and health scoring logic task is implemented, the feature should meet the approved capstone requirements and pass review against its expected behavior.</x:v>
      </x:c>
      <x:c r="D32" s="18" t="n">
        <x:v>0.0016319444444444443</x:v>
      </x:c>
      <x:c r="E32" s="16" t="str">
        <x:v>planning/backlog</x:v>
      </x:c>
      <x:c r="F32" s="17" t="b">
        <x:v>0</x:v>
      </x:c>
    </x:row>
    <x:row r="33">
      <x:c r="A33" s="16" t="str">
        <x:v>TEST-01</x:v>
      </x:c>
      <x:c r="B33" s="16" t="str">
        <x:v>Test projects and donations API requests and responses</x:v>
      </x:c>
      <x:c r="C33" s="16" t="str">
        <x:v>Given the PAULUS Test projects and donations API requests and responses task is implemented, the feature should meet the approved capstone requirements and pass review against its expected behavior.</x:v>
      </x:c>
      <x:c r="D33" s="18" t="n">
        <x:v>0.0016319444444444443</x:v>
      </x:c>
      <x:c r="E33" s="16" t="str">
        <x:v>planning/backlog</x:v>
      </x:c>
      <x:c r="F33" s="17" t="b">
        <x:v>0</x:v>
      </x:c>
    </x:row>
    <x:row r="34">
      <x:c r="A34" s="16" t="str">
        <x:v>FIX-01</x:v>
      </x:c>
      <x:c r="B34" s="16" t="str">
        <x:v>Resolve projects and donations API errors</x:v>
      </x:c>
      <x:c r="C34" s="16" t="str">
        <x:v>Given the PAULUS Resolve projects and donations API errors task is implemented, the feature should meet the approved capstone requirements and pass review against its expected behavior.</x:v>
      </x:c>
      <x:c r="D34" s="18" t="n">
        <x:v>0.0016319444444444443</x:v>
      </x:c>
      <x:c r="E34" s="16" t="str">
        <x:v>planning/backlog</x:v>
      </x:c>
      <x:c r="F34" s="17" t="b">
        <x:v>0</x:v>
      </x:c>
    </x:row>
    <x:row r="35">
      <x:c r="A35" s="16" t="str">
        <x:v>UAT-01</x:v>
      </x:c>
      <x:c r="B35" s="16" t="str">
        <x:v>Validate projects and donations API with target users</x:v>
      </x:c>
      <x:c r="C35" s="16" t="str">
        <x:v>Given the PAULUS Validate projects and donations API with target users task is implemented, the feature should meet the approved capstone requirements and pass review against its expected behavior.</x:v>
      </x:c>
      <x:c r="D35" s="18" t="n">
        <x:v>0.0016319444444444443</x:v>
      </x:c>
      <x:c r="E35" s="16" t="str">
        <x:v>planning/backlog</x:v>
      </x:c>
      <x:c r="F35" s="17" t="b">
        <x:v>0</x:v>
      </x:c>
    </x:row>
    <x:row r="36">
      <x:c r="A36" s="16" t="str">
        <x:v>MS-01</x:v>
      </x:c>
      <x:c r="B36" s="16" t="str">
        <x:v>Document projects and donations API process</x:v>
      </x:c>
      <x:c r="C36" s="16" t="str">
        <x:v>Given the PAULUS Document projects and donations API process task is implemented, the feature should meet the approved capstone requirements and pass review against its expected behavior.</x:v>
      </x:c>
      <x:c r="D36" s="18" t="n">
        <x:v>0.0016319444444444443</x:v>
      </x:c>
      <x:c r="E36" s="16" t="str">
        <x:v>planning/backlog</x:v>
      </x:c>
      <x:c r="F36" s="17" t="b">
        <x:v>0</x:v>
      </x:c>
    </x:row>
    <x:row r="37">
      <x:c r="A37" s="26" t="str">
        <x:v>Total Accomplished</x:v>
      </x:c>
      <x:c r="B37" s="26" t="str"/>
      <x:c r="C37" s="26" t="str"/>
      <x:c r="D37" s="27" t="n">
        <x:f>SUM(D28:D36)</x:f>
        <x:v>0.0146875</x:v>
      </x:c>
      <x:c r="E37" s="27" t="str"/>
      <x:c r="F37" s="27" t="n">
        <x:f>SUMIF(F28:F36, TRUE, D28:D36)</x:f>
        <x:v>0</x:v>
      </x:c>
    </x:row>
    <x:row r="39">
      <x:c r="A39" s="4" t="str">
        <x:v>Task ID</x:v>
      </x:c>
      <x:c r="B39" s="4" t="str">
        <x:v>ANNCAPI</x:v>
      </x:c>
      <x:c r="C39" s="4" t="str">
        <x:v>Task Name</x:v>
      </x:c>
      <x:c r="D39" s="4" t="str">
        <x:v>Announcements API</x:v>
      </x:c>
      <x:c r="E39" s="4" t="str">
        <x:v>ClickUp Status</x:v>
      </x:c>
      <x:c r="F39" s="4" t="str">
        <x:v>for qa / internal testing</x:v>
      </x:c>
    </x:row>
    <x:row r="40">
      <x:c r="A40" s="8" t="str">
        <x:v>Subtask ID</x:v>
      </x:c>
      <x:c r="B40" s="8" t="str">
        <x:v>Subtask / Task Name</x:v>
      </x:c>
      <x:c r="C40" s="8" t="str">
        <x:v>Acceptance Criteria</x:v>
      </x:c>
      <x:c r="D40" s="8" t="str">
        <x:v>Weight Allocation</x:v>
      </x:c>
      <x:c r="E40" s="8" t="str">
        <x:v>ClickUp Status</x:v>
      </x:c>
      <x:c r="F40" s="8" t="str">
        <x:v>Accepted</x:v>
      </x:c>
    </x:row>
    <x:row r="41">
      <x:c r="A41" s="16" t="str">
        <x:v>REQ-01</x:v>
      </x:c>
      <x:c r="B41" s="16" t="str">
        <x:v>Define announcements API requirements</x:v>
      </x:c>
      <x:c r="C41" s="16" t="str">
        <x:v>Given the PAULUS Define announcements API requirements task is implemented, the feature should meet the approved capstone requirements and pass review against its expected behavior.</x:v>
      </x:c>
      <x:c r="D41" s="18" t="n">
        <x:v>0.0018359375</x:v>
      </x:c>
      <x:c r="E41" s="16" t="str">
        <x:v>planning/backlog</x:v>
      </x:c>
      <x:c r="F41" s="17" t="b">
        <x:v>0</x:v>
      </x:c>
    </x:row>
    <x:row r="42">
      <x:c r="A42" s="16" t="str">
        <x:v>DES-01</x:v>
      </x:c>
      <x:c r="B42" s="16" t="str">
        <x:v>Design announcements API structure</x:v>
      </x:c>
      <x:c r="C42" s="16" t="str">
        <x:v>Given the PAULUS Design announcements API structure task is implemented, the feature should meet the approved capstone requirements and pass review against its expected behavior.</x:v>
      </x:c>
      <x:c r="D42" s="18" t="n">
        <x:v>0.0018359375</x:v>
      </x:c>
      <x:c r="E42" s="16" t="str">
        <x:v>planning/backlog</x:v>
      </x:c>
      <x:c r="F42" s="17" t="b">
        <x:v>0</x:v>
      </x:c>
    </x:row>
    <x:row r="43">
      <x:c r="A43" s="16" t="str">
        <x:v>DEV-01</x:v>
      </x:c>
      <x:c r="B43" s="16" t="str">
        <x:v>Implement announcements retrieval endpoint</x:v>
      </x:c>
      <x:c r="C43" s="16" t="str">
        <x:v>Given the PAULUS Implement announcements retrieval endpoint task is implemented, the feature should meet the approved capstone requirements and pass review against its expected behavior.</x:v>
      </x:c>
      <x:c r="D43" s="18" t="n">
        <x:v>0.0018359375</x:v>
      </x:c>
      <x:c r="E43" s="16" t="str">
        <x:v>planning/backlog</x:v>
      </x:c>
      <x:c r="F43" s="17" t="b">
        <x:v>0</x:v>
      </x:c>
    </x:row>
    <x:row r="44">
      <x:c r="A44" s="16" t="str">
        <x:v>DEV-02</x:v>
      </x:c>
      <x:c r="B44" s="16" t="str">
        <x:v>Implement announcement creation and deletion endpoints</x:v>
      </x:c>
      <x:c r="C44" s="16" t="str">
        <x:v>Given the PAULUS Implement announcement creation and deletion endpoints task is implemented, the feature should meet the approved capstone requirements and pass review against its expected behavior.</x:v>
      </x:c>
      <x:c r="D44" s="18" t="n">
        <x:v>0.0018359375</x:v>
      </x:c>
      <x:c r="E44" s="16" t="str">
        <x:v>planning/backlog</x:v>
      </x:c>
      <x:c r="F44" s="17" t="b">
        <x:v>0</x:v>
      </x:c>
    </x:row>
    <x:row r="45">
      <x:c r="A45" s="16" t="str">
        <x:v>TEST-01</x:v>
      </x:c>
      <x:c r="B45" s="16" t="str">
        <x:v>Test announcements API requests and responses</x:v>
      </x:c>
      <x:c r="C45" s="16" t="str">
        <x:v>Given the PAULUS Test announcements API requests and responses task is implemented, the feature should meet the approved capstone requirements and pass review against its expected behavior.</x:v>
      </x:c>
      <x:c r="D45" s="18" t="n">
        <x:v>0.0018359375</x:v>
      </x:c>
      <x:c r="E45" s="16" t="str">
        <x:v>planning/backlog</x:v>
      </x:c>
      <x:c r="F45" s="17" t="b">
        <x:v>0</x:v>
      </x:c>
    </x:row>
    <x:row r="46">
      <x:c r="A46" s="16" t="str">
        <x:v>FIX-01</x:v>
      </x:c>
      <x:c r="B46" s="16" t="str">
        <x:v>Resolve announcements API errors</x:v>
      </x:c>
      <x:c r="C46" s="16" t="str">
        <x:v>Given the PAULUS Resolve announcements API errors task is implemented, the feature should meet the approved capstone requirements and pass review against its expected behavior.</x:v>
      </x:c>
      <x:c r="D46" s="18" t="n">
        <x:v>0.0018359375</x:v>
      </x:c>
      <x:c r="E46" s="16" t="str">
        <x:v>planning/backlog</x:v>
      </x:c>
      <x:c r="F46" s="17" t="b">
        <x:v>0</x:v>
      </x:c>
    </x:row>
    <x:row r="47">
      <x:c r="A47" s="16" t="str">
        <x:v>UAT-01</x:v>
      </x:c>
      <x:c r="B47" s="16" t="str">
        <x:v>Validate announcements API with target users</x:v>
      </x:c>
      <x:c r="C47" s="16" t="str">
        <x:v>Given the PAULUS Validate announcements API with target users task is implemented, the feature should meet the approved capstone requirements and pass review against its expected behavior.</x:v>
      </x:c>
      <x:c r="D47" s="18" t="n">
        <x:v>0.0018359375</x:v>
      </x:c>
      <x:c r="E47" s="16" t="str">
        <x:v>planning/backlog</x:v>
      </x:c>
      <x:c r="F47" s="17" t="b">
        <x:v>0</x:v>
      </x:c>
    </x:row>
    <x:row r="48">
      <x:c r="A48" s="16" t="str">
        <x:v>MS-01</x:v>
      </x:c>
      <x:c r="B48" s="16" t="str">
        <x:v>Document announcements API process</x:v>
      </x:c>
      <x:c r="C48" s="16" t="str">
        <x:v>Given the PAULUS Document announcements API process task is implemented, the feature should meet the approved capstone requirements and pass review against its expected behavior.</x:v>
      </x:c>
      <x:c r="D48" s="18" t="n">
        <x:v>0.0018359375</x:v>
      </x:c>
      <x:c r="E48" s="16" t="str">
        <x:v>planning/backlog</x:v>
      </x:c>
      <x:c r="F48" s="17" t="b">
        <x:v>0</x:v>
      </x:c>
    </x:row>
    <x:row r="49">
      <x:c r="A49" s="26" t="str">
        <x:v>Total Accomplished</x:v>
      </x:c>
      <x:c r="B49" s="26" t="str"/>
      <x:c r="C49" s="26" t="str"/>
      <x:c r="D49" s="27" t="n">
        <x:f>SUM(D41:D48)</x:f>
        <x:v>0.014687499999999996</x:v>
      </x:c>
      <x:c r="E49" s="27" t="str"/>
      <x:c r="F49" s="27" t="n">
        <x:f>SUMIF(F41:F48, TRUE, D41:D48)</x:f>
        <x:v>0</x:v>
      </x:c>
    </x:row>
    <x:row r="51">
      <x:c r="A51" s="4" t="str">
        <x:v>Task ID</x:v>
      </x:c>
      <x:c r="B51" s="4" t="str">
        <x:v>FSAPI</x:v>
      </x:c>
      <x:c r="C51" s="4" t="str">
        <x:v>Task Name</x:v>
      </x:c>
      <x:c r="D51" s="4" t="str">
        <x:v>Financial Statement Processing API</x:v>
      </x:c>
      <x:c r="E51" s="4" t="str">
        <x:v>ClickUp Status</x:v>
      </x:c>
      <x:c r="F51" s="4" t="str">
        <x:v>planning/backlog</x:v>
      </x:c>
    </x:row>
    <x:row r="52">
      <x:c r="A52" s="8" t="str">
        <x:v>Subtask ID</x:v>
      </x:c>
      <x:c r="B52" s="8" t="str">
        <x:v>Subtask / Task Name</x:v>
      </x:c>
      <x:c r="C52" s="8" t="str">
        <x:v>Acceptance Criteria</x:v>
      </x:c>
      <x:c r="D52" s="8" t="str">
        <x:v>Weight Allocation</x:v>
      </x:c>
      <x:c r="E52" s="8" t="str">
        <x:v>ClickUp Status</x:v>
      </x:c>
      <x:c r="F52" s="8" t="str">
        <x:v>Accepted</x:v>
      </x:c>
    </x:row>
    <x:row r="53">
      <x:c r="A53" s="16" t="str">
        <x:v>REQ-01</x:v>
      </x:c>
      <x:c r="B53" s="16" t="str">
        <x:v>Define financial statement processing requirements</x:v>
      </x:c>
      <x:c r="C53" s="16" t="str">
        <x:v>Given the PAULUS Define financial statement processing requirements task is implemented, the feature should meet the approved capstone requirements and pass review against its expected behavior.</x:v>
      </x:c>
      <x:c r="D53" s="18" t="n">
        <x:v>0.0016319444444444443</x:v>
      </x:c>
      <x:c r="E53" s="16" t="str">
        <x:v>planning/backlog</x:v>
      </x:c>
      <x:c r="F53" s="17" t="b">
        <x:v>0</x:v>
      </x:c>
    </x:row>
    <x:row r="54">
      <x:c r="A54" s="16" t="str">
        <x:v>DES-01</x:v>
      </x:c>
      <x:c r="B54" s="16" t="str">
        <x:v>Map financial statement fields to database structure</x:v>
      </x:c>
      <x:c r="C54" s="16" t="str">
        <x:v>Given the PAULUS Map financial statement fields to database structure task is implemented, the feature should meet the approved capstone requirements and pass review against its expected behavior.</x:v>
      </x:c>
      <x:c r="D54" s="18" t="n">
        <x:v>0.0016319444444444443</x:v>
      </x:c>
      <x:c r="E54" s="16" t="str">
        <x:v>planning/backlog</x:v>
      </x:c>
      <x:c r="F54" s="17" t="b">
        <x:v>0</x:v>
      </x:c>
    </x:row>
    <x:row r="55">
      <x:c r="A55" s="16" t="str">
        <x:v>DEV-01</x:v>
      </x:c>
      <x:c r="B55" s="16" t="str">
        <x:v>Build financial statement upload endpoint</x:v>
      </x:c>
      <x:c r="C55" s="16" t="str">
        <x:v>Given the PAULUS Build financial statement upload endpoint task is implemented, the feature should meet the approved capstone requirements and pass review against its expected behavior.</x:v>
      </x:c>
      <x:c r="D55" s="18" t="n">
        <x:v>0.0016319444444444443</x:v>
      </x:c>
      <x:c r="E55" s="16" t="str">
        <x:v>planning/backlog</x:v>
      </x:c>
      <x:c r="F55" s="17" t="b">
        <x:v>0</x:v>
      </x:c>
    </x:row>
    <x:row r="56">
      <x:c r="A56" s="16" t="str">
        <x:v>DEV-02</x:v>
      </x:c>
      <x:c r="B56" s="16" t="str">
        <x:v>Implement financial statement validation logic</x:v>
      </x:c>
      <x:c r="C56" s="16" t="str">
        <x:v>Given the PAULUS Implement financial statement validation logic task is implemented, the feature should meet the approved capstone requirements and pass review against its expected behavior.</x:v>
      </x:c>
      <x:c r="D56" s="18" t="n">
        <x:v>0.0016319444444444443</x:v>
      </x:c>
      <x:c r="E56" s="16" t="str">
        <x:v>planning/backlog</x:v>
      </x:c>
      <x:c r="F56" s="17" t="b">
        <x:v>0</x:v>
      </x:c>
    </x:row>
    <x:row r="57">
      <x:c r="A57" s="16" t="str">
        <x:v>DEV-03</x:v>
      </x:c>
      <x:c r="B57" s="16" t="str">
        <x:v>Implement financial statement data saving logic</x:v>
      </x:c>
      <x:c r="C57" s="16" t="str">
        <x:v>Given the PAULUS Implement financial statement data saving logic task is implemented, the feature should meet the approved capstone requirements and pass review against its expected behavior.</x:v>
      </x:c>
      <x:c r="D57" s="18" t="n">
        <x:v>0.0016319444444444443</x:v>
      </x:c>
      <x:c r="E57" s="16" t="str">
        <x:v>planning/backlog</x:v>
      </x:c>
      <x:c r="F57" s="17" t="b">
        <x:v>0</x:v>
      </x:c>
    </x:row>
    <x:row r="58">
      <x:c r="A58" s="16" t="str">
        <x:v>TEST-01</x:v>
      </x:c>
      <x:c r="B58" s="16" t="str">
        <x:v>Test financial statement processing using sample records</x:v>
      </x:c>
      <x:c r="C58" s="16" t="str">
        <x:v>Given the PAULUS Test financial statement processing using sample records task is implemented, the feature should meet the approved capstone requirements and pass review against its expected behavior.</x:v>
      </x:c>
      <x:c r="D58" s="18" t="n">
        <x:v>0.0016319444444444443</x:v>
      </x:c>
      <x:c r="E58" s="16" t="str">
        <x:v>planning/backlog</x:v>
      </x:c>
      <x:c r="F58" s="17" t="b">
        <x:v>0</x:v>
      </x:c>
    </x:row>
    <x:row r="59">
      <x:c r="A59" s="16" t="str">
        <x:v>FIX-01</x:v>
      </x:c>
      <x:c r="B59" s="16" t="str">
        <x:v>Resolve financial statement processing errors</x:v>
      </x:c>
      <x:c r="C59" s="16" t="str">
        <x:v>Given the PAULUS Resolve financial statement processing errors task is implemented, the feature should meet the approved capstone requirements and pass review against its expected behavior.</x:v>
      </x:c>
      <x:c r="D59" s="18" t="n">
        <x:v>0.0016319444444444443</x:v>
      </x:c>
      <x:c r="E59" s="16" t="str">
        <x:v>planning/backlog</x:v>
      </x:c>
      <x:c r="F59" s="17" t="b">
        <x:v>0</x:v>
      </x:c>
    </x:row>
    <x:row r="60">
      <x:c r="A60" s="16" t="str">
        <x:v>UAT-01</x:v>
      </x:c>
      <x:c r="B60" s="16" t="str">
        <x:v>Validate financial statement processing with target users</x:v>
      </x:c>
      <x:c r="C60" s="16" t="str">
        <x:v>Given the PAULUS Validate financial statement processing with target users task is implemented, the feature should meet the approved capstone requirements and pass review against its expected behavior.</x:v>
      </x:c>
      <x:c r="D60" s="18" t="n">
        <x:v>0.0016319444444444443</x:v>
      </x:c>
      <x:c r="E60" s="16" t="str">
        <x:v>planning/backlog</x:v>
      </x:c>
      <x:c r="F60" s="17" t="b">
        <x:v>0</x:v>
      </x:c>
    </x:row>
    <x:row r="61">
      <x:c r="A61" s="16" t="str">
        <x:v>MS-01</x:v>
      </x:c>
      <x:c r="B61" s="16" t="str">
        <x:v>Document financial statement processing workflow</x:v>
      </x:c>
      <x:c r="C61" s="16" t="str">
        <x:v>Given the PAULUS Document financial statement processing workflow task is implemented, the feature should meet the approved capstone requirements and pass review against its expected behavior.</x:v>
      </x:c>
      <x:c r="D61" s="18" t="n">
        <x:v>0.0016319444444444443</x:v>
      </x:c>
      <x:c r="E61" s="16" t="str">
        <x:v>planning/backlog</x:v>
      </x:c>
      <x:c r="F61" s="17" t="b">
        <x:v>0</x:v>
      </x:c>
    </x:row>
    <x:row r="62">
      <x:c r="A62" s="26" t="str">
        <x:v>Total Accomplished</x:v>
      </x:c>
      <x:c r="B62" s="26" t="str"/>
      <x:c r="C62" s="26" t="str"/>
      <x:c r="D62" s="27" t="n">
        <x:f>SUM(D53:D61)</x:f>
        <x:v>0.0146875</x:v>
      </x:c>
      <x:c r="E62" s="27" t="str"/>
      <x:c r="F62" s="27" t="n">
        <x:f>SUMIF(F53:F61, TRUE, D53:D61)</x:f>
        <x:v>0</x:v>
      </x:c>
    </x:row>
    <x:row r="64">
      <x:c r="A64" s="4" t="str">
        <x:v>Task ID</x:v>
      </x:c>
      <x:c r="B64" s="4" t="str">
        <x:v>IAFRAPI</x:v>
      </x:c>
      <x:c r="C64" s="4" t="str">
        <x:v>Task Name</x:v>
      </x:c>
      <x:c r="D64" s="4" t="str">
        <x:v>IAFR Processing API</x:v>
      </x:c>
      <x:c r="E64" s="4" t="str">
        <x:v>ClickUp Status</x:v>
      </x:c>
      <x:c r="F64" s="4" t="str">
        <x:v>planning/backlog</x:v>
      </x:c>
    </x:row>
    <x:row r="65">
      <x:c r="A65" s="8" t="str">
        <x:v>Subtask ID</x:v>
      </x:c>
      <x:c r="B65" s="8" t="str">
        <x:v>Subtask / Task Name</x:v>
      </x:c>
      <x:c r="C65" s="8" t="str">
        <x:v>Acceptance Criteria</x:v>
      </x:c>
      <x:c r="D65" s="8" t="str">
        <x:v>Weight Allocation</x:v>
      </x:c>
      <x:c r="E65" s="8" t="str">
        <x:v>ClickUp Status</x:v>
      </x:c>
      <x:c r="F65" s="8" t="str">
        <x:v>Accepted</x:v>
      </x:c>
    </x:row>
    <x:row r="66">
      <x:c r="A66" s="16" t="str">
        <x:v>REQ-01</x:v>
      </x:c>
      <x:c r="B66" s="16" t="str">
        <x:v>Define IAFR processing requirements</x:v>
      </x:c>
      <x:c r="C66" s="16" t="str">
        <x:v>Given the PAULUS Define IAFR processing requirements task is implemented, the feature should meet the approved capstone requirements and pass review against its expected behavior.</x:v>
      </x:c>
      <x:c r="D66" s="18" t="n">
        <x:v>0.0016319444444444443</x:v>
      </x:c>
      <x:c r="E66" s="16" t="str">
        <x:v>planning/backlog</x:v>
      </x:c>
      <x:c r="F66" s="17" t="b">
        <x:v>0</x:v>
      </x:c>
    </x:row>
    <x:row r="67">
      <x:c r="A67" s="16" t="str">
        <x:v>DES-01</x:v>
      </x:c>
      <x:c r="B67" s="16" t="str">
        <x:v>Map IAFR fields to database structure</x:v>
      </x:c>
      <x:c r="C67" s="16" t="str">
        <x:v>Given the PAULUS Map IAFR fields to database structure task is implemented, the feature should meet the approved capstone requirements and pass review against its expected behavior.</x:v>
      </x:c>
      <x:c r="D67" s="18" t="n">
        <x:v>0.0016319444444444443</x:v>
      </x:c>
      <x:c r="E67" s="16" t="str">
        <x:v>planning/backlog</x:v>
      </x:c>
      <x:c r="F67" s="17" t="b">
        <x:v>0</x:v>
      </x:c>
    </x:row>
    <x:row r="68">
      <x:c r="A68" s="16" t="str">
        <x:v>DEV-01</x:v>
      </x:c>
      <x:c r="B68" s="16" t="str">
        <x:v>Build IAFR upload endpoint</x:v>
      </x:c>
      <x:c r="C68" s="16" t="str">
        <x:v>Given the PAULUS Build IAFR upload endpoint task is implemented, the feature should meet the approved capstone requirements and pass review against its expected behavior.</x:v>
      </x:c>
      <x:c r="D68" s="18" t="n">
        <x:v>0.0016319444444444443</x:v>
      </x:c>
      <x:c r="E68" s="16" t="str">
        <x:v>planning/backlog</x:v>
      </x:c>
      <x:c r="F68" s="17" t="b">
        <x:v>0</x:v>
      </x:c>
    </x:row>
    <x:row r="69">
      <x:c r="A69" s="16" t="str">
        <x:v>DEV-02</x:v>
      </x:c>
      <x:c r="B69" s="16" t="str">
        <x:v>Implement IAFR validation logic</x:v>
      </x:c>
      <x:c r="C69" s="16" t="str">
        <x:v>Given the PAULUS Implement IAFR validation logic task is implemented, the feature should meet the approved capstone requirements and pass review against its expected behavior.</x:v>
      </x:c>
      <x:c r="D69" s="18" t="n">
        <x:v>0.0016319444444444443</x:v>
      </x:c>
      <x:c r="E69" s="16" t="str">
        <x:v>planning/backlog</x:v>
      </x:c>
      <x:c r="F69" s="17" t="b">
        <x:v>0</x:v>
      </x:c>
    </x:row>
    <x:row r="70">
      <x:c r="A70" s="16" t="str">
        <x:v>DEV-03</x:v>
      </x:c>
      <x:c r="B70" s="16" t="str">
        <x:v>Implement IAFR data saving logic</x:v>
      </x:c>
      <x:c r="C70" s="16" t="str">
        <x:v>Given the PAULUS Implement IAFR data saving logic task is implemented, the feature should meet the approved capstone requirements and pass review against its expected behavior.</x:v>
      </x:c>
      <x:c r="D70" s="18" t="n">
        <x:v>0.0016319444444444443</x:v>
      </x:c>
      <x:c r="E70" s="16" t="str">
        <x:v>planning/backlog</x:v>
      </x:c>
      <x:c r="F70" s="17" t="b">
        <x:v>0</x:v>
      </x:c>
    </x:row>
    <x:row r="71">
      <x:c r="A71" s="16" t="str">
        <x:v>TEST-01</x:v>
      </x:c>
      <x:c r="B71" s="16" t="str">
        <x:v>Test IAFR processing using sample records</x:v>
      </x:c>
      <x:c r="C71" s="16" t="str">
        <x:v>Given the PAULUS Test IAFR processing using sample records task is implemented, the feature should meet the approved capstone requirements and pass review against its expected behavior.</x:v>
      </x:c>
      <x:c r="D71" s="18" t="n">
        <x:v>0.0016319444444444443</x:v>
      </x:c>
      <x:c r="E71" s="16" t="str">
        <x:v>planning/backlog</x:v>
      </x:c>
      <x:c r="F71" s="17" t="b">
        <x:v>0</x:v>
      </x:c>
    </x:row>
    <x:row r="72">
      <x:c r="A72" s="16" t="str">
        <x:v>FIX-01</x:v>
      </x:c>
      <x:c r="B72" s="16" t="str">
        <x:v>Resolve IAFR processing and validation errors</x:v>
      </x:c>
      <x:c r="C72" s="16" t="str">
        <x:v>Given the PAULUS Resolve IAFR processing and validation errors task is implemented, the feature should meet the approved capstone requirements and pass review against its expected behavior.</x:v>
      </x:c>
      <x:c r="D72" s="18" t="n">
        <x:v>0.0016319444444444443</x:v>
      </x:c>
      <x:c r="E72" s="16" t="str">
        <x:v>planning/backlog</x:v>
      </x:c>
      <x:c r="F72" s="17" t="b">
        <x:v>0</x:v>
      </x:c>
    </x:row>
    <x:row r="73">
      <x:c r="A73" s="16" t="str">
        <x:v>UAT-01</x:v>
      </x:c>
      <x:c r="B73" s="16" t="str">
        <x:v>Validate IAFR processing with target users</x:v>
      </x:c>
      <x:c r="C73" s="16" t="str">
        <x:v>Given the PAULUS Validate IAFR processing with target users task is implemented, the feature should meet the approved capstone requirements and pass review against its expected behavior.</x:v>
      </x:c>
      <x:c r="D73" s="18" t="n">
        <x:v>0.0016319444444444443</x:v>
      </x:c>
      <x:c r="E73" s="16" t="str">
        <x:v>planning/backlog</x:v>
      </x:c>
      <x:c r="F73" s="17" t="b">
        <x:v>0</x:v>
      </x:c>
    </x:row>
    <x:row r="74">
      <x:c r="A74" s="16" t="str">
        <x:v>MS-01</x:v>
      </x:c>
      <x:c r="B74" s="16" t="str">
        <x:v>Document IAFR processing workflow</x:v>
      </x:c>
      <x:c r="C74" s="16" t="str">
        <x:v>Given the PAULUS Document IAFR processing workflow task is implemented, the feature should meet the approved capstone requirements and pass review against its expected behavior.</x:v>
      </x:c>
      <x:c r="D74" s="18" t="n">
        <x:v>0.0016319444444444443</x:v>
      </x:c>
      <x:c r="E74" s="16" t="str">
        <x:v>planning/backlog</x:v>
      </x:c>
      <x:c r="F74" s="17" t="b">
        <x:v>0</x:v>
      </x:c>
    </x:row>
    <x:row r="75">
      <x:c r="A75" s="26" t="str">
        <x:v>Total Accomplished</x:v>
      </x:c>
      <x:c r="B75" s="26" t="str"/>
      <x:c r="C75" s="26" t="str"/>
      <x:c r="D75" s="27" t="n">
        <x:f>SUM(D66:D74)</x:f>
        <x:v>0.0146875</x:v>
      </x:c>
      <x:c r="E75" s="27" t="str"/>
      <x:c r="F75" s="27" t="n">
        <x:f>SUMIF(F66:F74, TRUE, D66:D74)</x:f>
        <x:v>0</x:v>
      </x:c>
    </x:row>
    <x:row r="77">
      <x:c r="A77" s="4" t="str">
        <x:v>Task ID</x:v>
      </x:c>
      <x:c r="B77" s="4" t="str">
        <x:v>ANALYTICSAPI</x:v>
      </x:c>
      <x:c r="C77" s="4" t="str">
        <x:v>Task Name</x:v>
      </x:c>
      <x:c r="D77" s="4" t="str">
        <x:v>Analytics Result API</x:v>
      </x:c>
      <x:c r="E77" s="4" t="str">
        <x:v>ClickUp Status</x:v>
      </x:c>
      <x:c r="F77" s="4" t="str">
        <x:v>planning/backlog</x:v>
      </x:c>
    </x:row>
    <x:row r="78">
      <x:c r="A78" s="8" t="str">
        <x:v>Subtask ID</x:v>
      </x:c>
      <x:c r="B78" s="8" t="str">
        <x:v>Subtask / Task Name</x:v>
      </x:c>
      <x:c r="C78" s="8" t="str">
        <x:v>Acceptance Criteria</x:v>
      </x:c>
      <x:c r="D78" s="8" t="str">
        <x:v>Weight Allocation</x:v>
      </x:c>
      <x:c r="E78" s="8" t="str">
        <x:v>ClickUp Status</x:v>
      </x:c>
      <x:c r="F78" s="8" t="str">
        <x:v>Accepted</x:v>
      </x:c>
    </x:row>
    <x:row r="79">
      <x:c r="A79" s="16" t="str">
        <x:v>REQ-01</x:v>
      </x:c>
      <x:c r="B79" s="16" t="str">
        <x:v>Define analytics API requirements</x:v>
      </x:c>
      <x:c r="C79" s="16" t="str">
        <x:v>Given the PAULUS Define analytics API requirements task is implemented, the feature should meet the approved capstone requirements and pass review against its expected behavior.</x:v>
      </x:c>
      <x:c r="D79" s="18" t="n">
        <x:v>0.0016319444444444443</x:v>
      </x:c>
      <x:c r="E79" s="16" t="str">
        <x:v>planning/backlog</x:v>
      </x:c>
      <x:c r="F79" s="17" t="b">
        <x:v>0</x:v>
      </x:c>
    </x:row>
    <x:row r="80">
      <x:c r="A80" s="16" t="str">
        <x:v>DES-01</x:v>
      </x:c>
      <x:c r="B80" s="16" t="str">
        <x:v>Design analytics API response structure</x:v>
      </x:c>
      <x:c r="C80" s="16" t="str">
        <x:v>Given the PAULUS Design analytics API response structure task is implemented, the feature should meet the approved capstone requirements and pass review against its expected behavior.</x:v>
      </x:c>
      <x:c r="D80" s="18" t="n">
        <x:v>0.0016319444444444443</x:v>
      </x:c>
      <x:c r="E80" s="16" t="str">
        <x:v>planning/backlog</x:v>
      </x:c>
      <x:c r="F80" s="17" t="b">
        <x:v>0</x:v>
      </x:c>
    </x:row>
    <x:row r="81">
      <x:c r="A81" s="16" t="str">
        <x:v>DEV-01</x:v>
      </x:c>
      <x:c r="B81" s="16" t="str">
        <x:v>Build financial health result endpoint</x:v>
      </x:c>
      <x:c r="C81" s="16" t="str">
        <x:v>Given the PAULUS Build financial health result endpoint task is implemented, the feature should meet the approved capstone requirements and pass review against its expected behavior.</x:v>
      </x:c>
      <x:c r="D81" s="18" t="n">
        <x:v>0.0016319444444444443</x:v>
      </x:c>
      <x:c r="E81" s="16" t="str">
        <x:v>planning/backlog</x:v>
      </x:c>
      <x:c r="F81" s="17" t="b">
        <x:v>0</x:v>
      </x:c>
    </x:row>
    <x:row r="82">
      <x:c r="A82" s="16" t="str">
        <x:v>DEV-02</x:v>
      </x:c>
      <x:c r="B82" s="16" t="str">
        <x:v>Build forecasting result endpoint</x:v>
      </x:c>
      <x:c r="C82" s="16" t="str">
        <x:v>Given the PAULUS Build forecasting result endpoint task is implemented, the feature should meet the approved capstone requirements and pass review against its expected behavior.</x:v>
      </x:c>
      <x:c r="D82" s="18" t="n">
        <x:v>0.0016319444444444443</x:v>
      </x:c>
      <x:c r="E82" s="16" t="str">
        <x:v>planning/backlog</x:v>
      </x:c>
      <x:c r="F82" s="17" t="b">
        <x:v>0</x:v>
      </x:c>
    </x:row>
    <x:row r="83">
      <x:c r="A83" s="16" t="str">
        <x:v>DEV-03</x:v>
      </x:c>
      <x:c r="B83" s="16" t="str">
        <x:v>Build recommendation result endpoint</x:v>
      </x:c>
      <x:c r="C83" s="16" t="str">
        <x:v>Given the PAULUS Build recommendation result endpoint task is implemented, the feature should meet the approved capstone requirements and pass review against its expected behavior.</x:v>
      </x:c>
      <x:c r="D83" s="18" t="n">
        <x:v>0.0016319444444444443</x:v>
      </x:c>
      <x:c r="E83" s="16" t="str">
        <x:v>planning/backlog</x:v>
      </x:c>
      <x:c r="F83" s="17" t="b">
        <x:v>0</x:v>
      </x:c>
    </x:row>
    <x:row r="84">
      <x:c r="A84" s="16" t="str">
        <x:v>TEST-01</x:v>
      </x:c>
      <x:c r="B84" s="16" t="str">
        <x:v>Test analytics API responses</x:v>
      </x:c>
      <x:c r="C84" s="16" t="str">
        <x:v>Given the PAULUS Test analytics API responses task is implemented, the feature should meet the approved capstone requirements and pass review against its expected behavior.</x:v>
      </x:c>
      <x:c r="D84" s="18" t="n">
        <x:v>0.0016319444444444443</x:v>
      </x:c>
      <x:c r="E84" s="16" t="str">
        <x:v>planning/backlog</x:v>
      </x:c>
      <x:c r="F84" s="17" t="b">
        <x:v>0</x:v>
      </x:c>
    </x:row>
    <x:row r="85">
      <x:c r="A85" s="16" t="str">
        <x:v>FIX-01</x:v>
      </x:c>
      <x:c r="B85" s="16" t="str">
        <x:v>Resolve analytics API errors</x:v>
      </x:c>
      <x:c r="C85" s="16" t="str">
        <x:v>Given the PAULUS Resolve analytics API errors task is implemented, the feature should meet the approved capstone requirements and pass review against its expected behavior.</x:v>
      </x:c>
      <x:c r="D85" s="18" t="n">
        <x:v>0.0016319444444444443</x:v>
      </x:c>
      <x:c r="E85" s="16" t="str">
        <x:v>planning/backlog</x:v>
      </x:c>
      <x:c r="F85" s="17" t="b">
        <x:v>0</x:v>
      </x:c>
    </x:row>
    <x:row r="86">
      <x:c r="A86" s="16" t="str">
        <x:v>UAT-01</x:v>
      </x:c>
      <x:c r="B86" s="16" t="str">
        <x:v>Validate analytics API outputs with target users</x:v>
      </x:c>
      <x:c r="C86" s="16" t="str">
        <x:v>Given the PAULUS Validate analytics API outputs with target users task is implemented, the feature should meet the approved capstone requirements and pass review against its expected behavior.</x:v>
      </x:c>
      <x:c r="D86" s="18" t="n">
        <x:v>0.0016319444444444443</x:v>
      </x:c>
      <x:c r="E86" s="16" t="str">
        <x:v>planning/backlog</x:v>
      </x:c>
      <x:c r="F86" s="17" t="b">
        <x:v>0</x:v>
      </x:c>
    </x:row>
    <x:row r="87">
      <x:c r="A87" s="16" t="str">
        <x:v>MS-01</x:v>
      </x:c>
      <x:c r="B87" s="16" t="str">
        <x:v>Document analytics API process</x:v>
      </x:c>
      <x:c r="C87" s="16" t="str">
        <x:v>Given the PAULUS Document analytics API process task is implemented, the feature should meet the approved capstone requirements and pass review against its expected behavior.</x:v>
      </x:c>
      <x:c r="D87" s="18" t="n">
        <x:v>0.0016319444444444443</x:v>
      </x:c>
      <x:c r="E87" s="16" t="str">
        <x:v>planning/backlog</x:v>
      </x:c>
      <x:c r="F87" s="17" t="b">
        <x:v>0</x:v>
      </x:c>
    </x:row>
    <x:row r="88">
      <x:c r="A88" s="26" t="str">
        <x:v>Total Accomplished</x:v>
      </x:c>
      <x:c r="B88" s="26" t="str"/>
      <x:c r="C88" s="26" t="str"/>
      <x:c r="D88" s="27" t="n">
        <x:f>SUM(D79:D87)</x:f>
        <x:v>0.0146875</x:v>
      </x:c>
      <x:c r="E88" s="27" t="str"/>
      <x:c r="F88" s="27" t="n">
        <x:f>SUMIF(F79:F87, TRUE, D79:D87)</x:f>
        <x:v>0</x:v>
      </x:c>
    </x:row>
    <x:row r="90">
      <x:c r="A90" s="4" t="str">
        <x:v>Task ID</x:v>
      </x:c>
      <x:c r="B90" s="4" t="str">
        <x:v>REPORTAPI</x:v>
      </x:c>
      <x:c r="C90" s="4" t="str">
        <x:v>Task Name</x:v>
      </x:c>
      <x:c r="D90" s="4" t="str">
        <x:v>Report Generation API</x:v>
      </x:c>
      <x:c r="E90" s="4" t="str">
        <x:v>ClickUp Status</x:v>
      </x:c>
      <x:c r="F90" s="4" t="str">
        <x:v>planning/backlog</x:v>
      </x:c>
    </x:row>
    <x:row r="91">
      <x:c r="A91" s="8" t="str">
        <x:v>Subtask ID</x:v>
      </x:c>
      <x:c r="B91" s="8" t="str">
        <x:v>Subtask / Task Name</x:v>
      </x:c>
      <x:c r="C91" s="8" t="str">
        <x:v>Acceptance Criteria</x:v>
      </x:c>
      <x:c r="D91" s="8" t="str">
        <x:v>Weight Allocation</x:v>
      </x:c>
      <x:c r="E91" s="8" t="str">
        <x:v>ClickUp Status</x:v>
      </x:c>
      <x:c r="F91" s="8" t="str">
        <x:v>Accepted</x:v>
      </x:c>
    </x:row>
    <x:row r="92">
      <x:c r="A92" s="16" t="str">
        <x:v>REQ-01</x:v>
      </x:c>
      <x:c r="B92" s="16" t="str">
        <x:v>Define report generation API requirements</x:v>
      </x:c>
      <x:c r="C92" s="16" t="str">
        <x:v>Given the PAULUS Define report generation API requirements task is implemented, the feature should meet the approved capstone requirements and pass review against its expected behavior.</x:v>
      </x:c>
      <x:c r="D92" s="18" t="n">
        <x:v>0.0024479166666666664</x:v>
      </x:c>
      <x:c r="E92" s="16" t="str">
        <x:v>standardized subtask - URL pending</x:v>
      </x:c>
      <x:c r="F92" s="17" t="b">
        <x:v>0</x:v>
      </x:c>
    </x:row>
    <x:row r="93">
      <x:c r="A93" s="16" t="str">
        <x:v>DES-01</x:v>
      </x:c>
      <x:c r="B93" s="16" t="str">
        <x:v>Design report generation API structure and workflow</x:v>
      </x:c>
      <x:c r="C93" s="16" t="str">
        <x:v>Given the PAULUS Design report generation API structure and workflow task is implemented, the feature should meet the approved capstone requirements and pass review against its expected behavior.</x:v>
      </x:c>
      <x:c r="D93" s="18" t="n">
        <x:v>0.0024479166666666664</x:v>
      </x:c>
      <x:c r="E93" s="16" t="str">
        <x:v>standardized subtask - URL pending</x:v>
      </x:c>
      <x:c r="F93" s="17" t="b">
        <x:v>0</x:v>
      </x:c>
    </x:row>
    <x:row r="94">
      <x:c r="A94" s="16" t="str">
        <x:v>DEV-01</x:v>
      </x:c>
      <x:c r="B94" s="16" t="str">
        <x:v>Implement report generation API baseline functionality</x:v>
      </x:c>
      <x:c r="C94" s="16" t="str">
        <x:v>Given the PAULUS Implement report generation API baseline functionality task is implemented, the feature should meet the approved capstone requirements and pass review against its expected behavior.</x:v>
      </x:c>
      <x:c r="D94" s="18" t="n">
        <x:v>0.0024479166666666664</x:v>
      </x:c>
      <x:c r="E94" s="16" t="str">
        <x:v>standardized subtask - URL pending</x:v>
      </x:c>
      <x:c r="F94" s="17" t="b">
        <x:v>0</x:v>
      </x:c>
    </x:row>
    <x:row r="95">
      <x:c r="A95" s="16" t="str">
        <x:v>TEST-01</x:v>
      </x:c>
      <x:c r="B95" s="16" t="str">
        <x:v>Test report generation API behavior and outputs</x:v>
      </x:c>
      <x:c r="C95" s="16" t="str">
        <x:v>Given the PAULUS Test report generation API behavior and outputs task is implemented, the feature should meet the approved capstone requirements and pass review against its expected behavior.</x:v>
      </x:c>
      <x:c r="D95" s="18" t="n">
        <x:v>0.0024479166666666664</x:v>
      </x:c>
      <x:c r="E95" s="16" t="str">
        <x:v>standardized subtask - URL pending</x:v>
      </x:c>
      <x:c r="F95" s="17" t="b">
        <x:v>0</x:v>
      </x:c>
    </x:row>
    <x:row r="96">
      <x:c r="A96" s="16" t="str">
        <x:v>FIX-01</x:v>
      </x:c>
      <x:c r="B96" s="16" t="str">
        <x:v>Resolve report generation API issues</x:v>
      </x:c>
      <x:c r="C96" s="16" t="str">
        <x:v>Given the PAULUS Resolve report generation API issues task is implemented, the feature should meet the approved capstone requirements and pass review against its expected behavior.</x:v>
      </x:c>
      <x:c r="D96" s="18" t="n">
        <x:v>0.0024479166666666664</x:v>
      </x:c>
      <x:c r="E96" s="16" t="str">
        <x:v>standardized subtask - URL pending</x:v>
      </x:c>
      <x:c r="F96" s="17" t="b">
        <x:v>0</x:v>
      </x:c>
    </x:row>
    <x:row r="97">
      <x:c r="A97" s="16" t="str">
        <x:v>MS-01</x:v>
      </x:c>
      <x:c r="B97" s="16" t="str">
        <x:v>Document report generation API in Chapter 4</x:v>
      </x:c>
      <x:c r="C97" s="16" t="str">
        <x:v>Given the PAULUS Document report generation API in Chapter 4 task is implemented, the feature should meet the approved capstone requirements and pass review against its expected behavior.</x:v>
      </x:c>
      <x:c r="D97" s="18" t="n">
        <x:v>0.0024479166666666664</x:v>
      </x:c>
      <x:c r="E97" s="16" t="str">
        <x:v>standardized subtask - URL pending</x:v>
      </x:c>
      <x:c r="F97" s="17" t="b">
        <x:v>0</x:v>
      </x:c>
    </x:row>
    <x:row r="98">
      <x:c r="A98" s="26" t="str">
        <x:v>Total Accomplished</x:v>
      </x:c>
      <x:c r="B98" s="26" t="str"/>
      <x:c r="C98" s="26" t="str"/>
      <x:c r="D98" s="27" t="n">
        <x:f>SUM(D92:D97)</x:f>
        <x:v>0.014687499999999997</x:v>
      </x:c>
      <x:c r="E98" s="27" t="str"/>
      <x:c r="F98" s="27" t="n">
        <x:f>SUMIF(F92:F97, TRUE, D92:D97)</x:f>
        <x:v>0</x:v>
      </x:c>
    </x:row>
    <x:row r="100">
      <x:c r="A100" s="4" t="str">
        <x:v>Task ID</x:v>
      </x:c>
      <x:c r="B100" s="4" t="str">
        <x:v>BUDGETAPI</x:v>
      </x:c>
      <x:c r="C100" s="4" t="str">
        <x:v>Task Name</x:v>
      </x:c>
      <x:c r="D100" s="4" t="str">
        <x:v>Budget API and Validation</x:v>
      </x:c>
      <x:c r="E100" s="4" t="str">
        <x:v>ClickUp Status</x:v>
      </x:c>
      <x:c r="F100" s="4" t="str">
        <x:v>planning/backlog</x:v>
      </x:c>
    </x:row>
    <x:row r="101">
      <x:c r="A101" s="8" t="str">
        <x:v>Subtask ID</x:v>
      </x:c>
      <x:c r="B101" s="8" t="str">
        <x:v>Subtask / Task Name</x:v>
      </x:c>
      <x:c r="C101" s="8" t="str">
        <x:v>Acceptance Criteria</x:v>
      </x:c>
      <x:c r="D101" s="8" t="str">
        <x:v>Weight Allocation</x:v>
      </x:c>
      <x:c r="E101" s="8" t="str">
        <x:v>ClickUp Status</x:v>
      </x:c>
      <x:c r="F101" s="8" t="str">
        <x:v>Accepted</x:v>
      </x:c>
    </x:row>
    <x:row r="102">
      <x:c r="A102" s="16" t="str">
        <x:v>REQ-01</x:v>
      </x:c>
      <x:c r="B102" s="16" t="str">
        <x:v>Define budget API requirements</x:v>
      </x:c>
      <x:c r="C102" s="16" t="str">
        <x:v>Given the PAULUS Define budget API requirements task is implemented, the feature should meet the approved capstone requirements and pass review against its expected behavior.</x:v>
      </x:c>
      <x:c r="D102" s="18" t="n">
        <x:v>0.0020982142857142857</x:v>
      </x:c>
      <x:c r="E102" s="16" t="str">
        <x:v>planning/backlog</x:v>
      </x:c>
      <x:c r="F102" s="17" t="b">
        <x:v>0</x:v>
      </x:c>
    </x:row>
    <x:row r="103">
      <x:c r="A103" s="16" t="str">
        <x:v>DES-01</x:v>
      </x:c>
      <x:c r="B103" s="16" t="str">
        <x:v>Design budget API request, response, and validation structure</x:v>
      </x:c>
      <x:c r="C103" s="16" t="str">
        <x:v>Given the PAULUS Design budget API request, response, and validation structure task is implemented, the feature should meet the approved capstone requirements and pass review against its expected behavior.</x:v>
      </x:c>
      <x:c r="D103" s="18" t="n">
        <x:v>0.0020982142857142857</x:v>
      </x:c>
      <x:c r="E103" s="16" t="str">
        <x:v>planning/backlog</x:v>
      </x:c>
      <x:c r="F103" s="17" t="b">
        <x:v>0</x:v>
      </x:c>
    </x:row>
    <x:row r="104">
      <x:c r="A104" s="16" t="str">
        <x:v>DEV-01</x:v>
      </x:c>
      <x:c r="B104" s="16" t="str">
        <x:v>Build budget API endpoints</x:v>
      </x:c>
      <x:c r="C104" s="16" t="str">
        <x:v>Given the PAULUS Build budget API endpoints task is implemented, the feature should meet the approved capstone requirements and pass review against its expected behavior.</x:v>
      </x:c>
      <x:c r="D104" s="18" t="n">
        <x:v>0.0020982142857142857</x:v>
      </x:c>
      <x:c r="E104" s="16" t="str">
        <x:v>planning/backlog</x:v>
      </x:c>
      <x:c r="F104" s="17" t="b">
        <x:v>0</x:v>
      </x:c>
    </x:row>
    <x:row r="105">
      <x:c r="A105" s="16" t="str">
        <x:v>TEST-01</x:v>
      </x:c>
      <x:c r="B105" s="16" t="str">
        <x:v>Test budget API validation and responses</x:v>
      </x:c>
      <x:c r="C105" s="16" t="str">
        <x:v>Given the PAULUS Test budget API validation and responses task is implemented, the feature should meet the approved capstone requirements and pass review against its expected behavior.</x:v>
      </x:c>
      <x:c r="D105" s="18" t="n">
        <x:v>0.0020982142857142857</x:v>
      </x:c>
      <x:c r="E105" s="16" t="str">
        <x:v>planning/backlog</x:v>
      </x:c>
      <x:c r="F105" s="17" t="b">
        <x:v>0</x:v>
      </x:c>
    </x:row>
    <x:row r="106">
      <x:c r="A106" s="16" t="str">
        <x:v>FIX-01</x:v>
      </x:c>
      <x:c r="B106" s="16" t="str">
        <x:v>Resolve budget API issues</x:v>
      </x:c>
      <x:c r="C106" s="16" t="str">
        <x:v>Given the PAULUS Resolve budget API issues task is implemented, the feature should meet the approved capstone requirements and pass review against its expected behavior.</x:v>
      </x:c>
      <x:c r="D106" s="18" t="n">
        <x:v>0.0020982142857142857</x:v>
      </x:c>
      <x:c r="E106" s="16" t="str">
        <x:v>planning/backlog</x:v>
      </x:c>
      <x:c r="F106" s="17" t="b">
        <x:v>0</x:v>
      </x:c>
    </x:row>
    <x:row r="107">
      <x:c r="A107" s="16" t="str">
        <x:v>UAT-01</x:v>
      </x:c>
      <x:c r="B107" s="16" t="str">
        <x:v>Validate budget API with frontend workflow</x:v>
      </x:c>
      <x:c r="C107" s="16" t="str">
        <x:v>Given the PAULUS Validate budget API with frontend workflow task is implemented, the feature should meet the approved capstone requirements and pass review against its expected behavior.</x:v>
      </x:c>
      <x:c r="D107" s="18" t="n">
        <x:v>0.0020982142857142857</x:v>
      </x:c>
      <x:c r="E107" s="16" t="str">
        <x:v>planning/backlog</x:v>
      </x:c>
      <x:c r="F107" s="17" t="b">
        <x:v>0</x:v>
      </x:c>
    </x:row>
    <x:row r="108">
      <x:c r="A108" s="16" t="str">
        <x:v>MS-01</x:v>
      </x:c>
      <x:c r="B108" s="16" t="str">
        <x:v>Document budget API process</x:v>
      </x:c>
      <x:c r="C108" s="16" t="str">
        <x:v>Given the PAULUS Document budget API process task is implemented, the feature should meet the approved capstone requirements and pass review against its expected behavior.</x:v>
      </x:c>
      <x:c r="D108" s="18" t="n">
        <x:v>0.0020982142857142857</x:v>
      </x:c>
      <x:c r="E108" s="16" t="str">
        <x:v>planning/backlog</x:v>
      </x:c>
      <x:c r="F108" s="17" t="b">
        <x:v>0</x:v>
      </x:c>
    </x:row>
    <x:row r="109">
      <x:c r="A109" s="26" t="str">
        <x:v>Total Accomplished</x:v>
      </x:c>
      <x:c r="B109" s="26" t="str"/>
      <x:c r="C109" s="26" t="str"/>
      <x:c r="D109" s="27" t="n">
        <x:f>SUM(D102:D108)</x:f>
        <x:v>0.014687500000000003</x:v>
      </x:c>
      <x:c r="E109" s="27" t="str"/>
      <x:c r="F109" s="27" t="n">
        <x:f>SUMIF(F102:F108, TRUE, D102:D108)</x:f>
        <x:v>0</x:v>
      </x:c>
    </x:row>
    <x:row r="111">
      <x:c r="A111" s="4" t="str">
        <x:v>Task ID</x:v>
      </x:c>
      <x:c r="B111" s="4" t="str">
        <x:v>EVENTAPI</x:v>
      </x:c>
      <x:c r="C111" s="4" t="str">
        <x:v>Task Name</x:v>
      </x:c>
      <x:c r="D111" s="4" t="str">
        <x:v>Events API</x:v>
      </x:c>
      <x:c r="E111" s="4" t="str">
        <x:v>ClickUp Status</x:v>
      </x:c>
      <x:c r="F111" s="4" t="str">
        <x:v>planning/backlog</x:v>
      </x:c>
    </x:row>
    <x:row r="112">
      <x:c r="A112" s="8" t="str">
        <x:v>Subtask ID</x:v>
      </x:c>
      <x:c r="B112" s="8" t="str">
        <x:v>Subtask / Task Name</x:v>
      </x:c>
      <x:c r="C112" s="8" t="str">
        <x:v>Acceptance Criteria</x:v>
      </x:c>
      <x:c r="D112" s="8" t="str">
        <x:v>Weight Allocation</x:v>
      </x:c>
      <x:c r="E112" s="8" t="str">
        <x:v>ClickUp Status</x:v>
      </x:c>
      <x:c r="F112" s="8" t="str">
        <x:v>Accepted</x:v>
      </x:c>
    </x:row>
    <x:row r="113">
      <x:c r="A113" s="16" t="str">
        <x:v>REQ-01</x:v>
      </x:c>
      <x:c r="B113" s="16" t="str">
        <x:v>Define events API requirements</x:v>
      </x:c>
      <x:c r="C113" s="16" t="str">
        <x:v>Given the PAULUS Define events API requirements task is implemented, the feature should meet the approved capstone requirements and pass review against its expected behavior.</x:v>
      </x:c>
      <x:c r="D113" s="18" t="n">
        <x:v>0.0020982142857142857</x:v>
      </x:c>
      <x:c r="E113" s="16" t="str">
        <x:v>planning/backlog</x:v>
      </x:c>
      <x:c r="F113" s="17" t="b">
        <x:v>0</x:v>
      </x:c>
    </x:row>
    <x:row r="114">
      <x:c r="A114" s="16" t="str">
        <x:v>DES-01</x:v>
      </x:c>
      <x:c r="B114" s="16" t="str">
        <x:v>Design event API request, response, and validation structure</x:v>
      </x:c>
      <x:c r="C114" s="16" t="str">
        <x:v>Given the PAULUS Design event API request, response, and validation structure task is implemented, the feature should meet the approved capstone requirements and pass review against its expected behavior.</x:v>
      </x:c>
      <x:c r="D114" s="18" t="n">
        <x:v>0.0020982142857142857</x:v>
      </x:c>
      <x:c r="E114" s="16" t="str">
        <x:v>planning/backlog</x:v>
      </x:c>
      <x:c r="F114" s="17" t="b">
        <x:v>0</x:v>
      </x:c>
    </x:row>
    <x:row r="115">
      <x:c r="A115" s="16" t="str">
        <x:v>DEV-01</x:v>
      </x:c>
      <x:c r="B115" s="16" t="str">
        <x:v>Build event CRUD endpoints</x:v>
      </x:c>
      <x:c r="C115" s="16" t="str">
        <x:v>Given the PAULUS Build event CRUD endpoints task is implemented, the feature should meet the approved capstone requirements and pass review against its expected behavior.</x:v>
      </x:c>
      <x:c r="D115" s="18" t="n">
        <x:v>0.0020982142857142857</x:v>
      </x:c>
      <x:c r="E115" s="16" t="str">
        <x:v>planning/backlog</x:v>
      </x:c>
      <x:c r="F115" s="17" t="b">
        <x:v>0</x:v>
      </x:c>
    </x:row>
    <x:row r="116">
      <x:c r="A116" s="16" t="str">
        <x:v>TEST-01</x:v>
      </x:c>
      <x:c r="B116" s="16" t="str">
        <x:v>Test event API validation and persistence</x:v>
      </x:c>
      <x:c r="C116" s="16" t="str">
        <x:v>Given the PAULUS Test event API validation and persistence task is implemented, the feature should meet the approved capstone requirements and pass review against its expected behavior.</x:v>
      </x:c>
      <x:c r="D116" s="18" t="n">
        <x:v>0.0020982142857142857</x:v>
      </x:c>
      <x:c r="E116" s="16" t="str">
        <x:v>planning/backlog</x:v>
      </x:c>
      <x:c r="F116" s="17" t="b">
        <x:v>0</x:v>
      </x:c>
    </x:row>
    <x:row r="117">
      <x:c r="A117" s="16" t="str">
        <x:v>FIX-01</x:v>
      </x:c>
      <x:c r="B117" s="16" t="str">
        <x:v>Resolve events API issues</x:v>
      </x:c>
      <x:c r="C117" s="16" t="str">
        <x:v>Given the PAULUS Resolve events API issues task is implemented, the feature should meet the approved capstone requirements and pass review against its expected behavior.</x:v>
      </x:c>
      <x:c r="D117" s="18" t="n">
        <x:v>0.0020982142857142857</x:v>
      </x:c>
      <x:c r="E117" s="16" t="str">
        <x:v>planning/backlog</x:v>
      </x:c>
      <x:c r="F117" s="17" t="b">
        <x:v>0</x:v>
      </x:c>
    </x:row>
    <x:row r="118">
      <x:c r="A118" s="16" t="str">
        <x:v>UAT-01</x:v>
      </x:c>
      <x:c r="B118" s="16" t="str">
        <x:v>Validate events API with frontend workflow</x:v>
      </x:c>
      <x:c r="C118" s="16" t="str">
        <x:v>Given the PAULUS Validate events API with frontend workflow task is implemented, the feature should meet the approved capstone requirements and pass review against its expected behavior.</x:v>
      </x:c>
      <x:c r="D118" s="18" t="n">
        <x:v>0.0020982142857142857</x:v>
      </x:c>
      <x:c r="E118" s="16" t="str">
        <x:v>planning/backlog</x:v>
      </x:c>
      <x:c r="F118" s="17" t="b">
        <x:v>0</x:v>
      </x:c>
    </x:row>
    <x:row r="119">
      <x:c r="A119" s="16" t="str">
        <x:v>MS-01</x:v>
      </x:c>
      <x:c r="B119" s="16" t="str">
        <x:v>Document events API process</x:v>
      </x:c>
      <x:c r="C119" s="16" t="str">
        <x:v>Given the PAULUS Document events API process task is implemented, the feature should meet the approved capstone requirements and pass review against its expected behavior.</x:v>
      </x:c>
      <x:c r="D119" s="18" t="n">
        <x:v>0.0020982142857142857</x:v>
      </x:c>
      <x:c r="E119" s="16" t="str">
        <x:v>planning/backlog</x:v>
      </x:c>
      <x:c r="F119" s="17" t="b">
        <x:v>0</x:v>
      </x:c>
    </x:row>
    <x:row r="120">
      <x:c r="A120" s="26" t="str">
        <x:v>Total Accomplished</x:v>
      </x:c>
      <x:c r="B120" s="26" t="str"/>
      <x:c r="C120" s="26" t="str"/>
      <x:c r="D120" s="27" t="n">
        <x:f>SUM(D113:D119)</x:f>
        <x:v>0.014687500000000003</x:v>
      </x:c>
      <x:c r="E120" s="27" t="str"/>
      <x:c r="F120" s="27" t="n">
        <x:f>SUMIF(F113:F119, TRUE, D113:D119)</x:f>
        <x:v>0</x:v>
      </x:c>
    </x:row>
    <x:row r="122">
      <x:c r="A122" s="4" t="str">
        <x:v>Task ID</x:v>
      </x:c>
      <x:c r="B122" s="4" t="str">
        <x:v>NOTIFAPI</x:v>
      </x:c>
      <x:c r="C122" s="4" t="str">
        <x:v>Task Name</x:v>
      </x:c>
      <x:c r="D122" s="4" t="str">
        <x:v>Notification API and Read-State Logic</x:v>
      </x:c>
      <x:c r="E122" s="4" t="str">
        <x:v>ClickUp Status</x:v>
      </x:c>
      <x:c r="F122" s="4" t="str">
        <x:v>planning/backlog</x:v>
      </x:c>
    </x:row>
    <x:row r="123">
      <x:c r="A123" s="8" t="str">
        <x:v>Subtask ID</x:v>
      </x:c>
      <x:c r="B123" s="8" t="str">
        <x:v>Subtask / Task Name</x:v>
      </x:c>
      <x:c r="C123" s="8" t="str">
        <x:v>Acceptance Criteria</x:v>
      </x:c>
      <x:c r="D123" s="8" t="str">
        <x:v>Weight Allocation</x:v>
      </x:c>
      <x:c r="E123" s="8" t="str">
        <x:v>ClickUp Status</x:v>
      </x:c>
      <x:c r="F123" s="8" t="str">
        <x:v>Accepted</x:v>
      </x:c>
    </x:row>
    <x:row r="124">
      <x:c r="A124" s="16" t="str">
        <x:v>REQ-01</x:v>
      </x:c>
      <x:c r="B124" s="16" t="str">
        <x:v>Define notification API requirements</x:v>
      </x:c>
      <x:c r="C124" s="16" t="str">
        <x:v>Given the PAULUS Define notification API requirements task is implemented, the feature should meet the approved capstone requirements and pass review against its expected behavior.</x:v>
      </x:c>
      <x:c r="D124" s="18" t="n">
        <x:v>0.0020982142857142857</x:v>
      </x:c>
      <x:c r="E124" s="16" t="str">
        <x:v>planning/backlog</x:v>
      </x:c>
      <x:c r="F124" s="17" t="b">
        <x:v>0</x:v>
      </x:c>
    </x:row>
    <x:row r="125">
      <x:c r="A125" s="16" t="str">
        <x:v>DES-01</x:v>
      </x:c>
      <x:c r="B125" s="16" t="str">
        <x:v>Design notification generation and read-state API flow</x:v>
      </x:c>
      <x:c r="C125" s="16" t="str">
        <x:v>Given the PAULUS Design notification generation and read-state API flow task is implemented, the feature should meet the approved capstone requirements and pass review against its expected behavior.</x:v>
      </x:c>
      <x:c r="D125" s="18" t="n">
        <x:v>0.0020982142857142857</x:v>
      </x:c>
      <x:c r="E125" s="16" t="str">
        <x:v>planning/backlog</x:v>
      </x:c>
      <x:c r="F125" s="17" t="b">
        <x:v>0</x:v>
      </x:c>
    </x:row>
    <x:row r="126">
      <x:c r="A126" s="16" t="str">
        <x:v>DEV-01</x:v>
      </x:c>
      <x:c r="B126" s="16" t="str">
        <x:v>Build notification generation and retrieval logic</x:v>
      </x:c>
      <x:c r="C126" s="16" t="str">
        <x:v>Given the PAULUS Build notification generation and retrieval logic task is implemented, the feature should meet the approved capstone requirements and pass review against its expected behavior.</x:v>
      </x:c>
      <x:c r="D126" s="18" t="n">
        <x:v>0.0020982142857142857</x:v>
      </x:c>
      <x:c r="E126" s="16" t="str">
        <x:v>planning/backlog</x:v>
      </x:c>
      <x:c r="F126" s="17" t="b">
        <x:v>0</x:v>
      </x:c>
    </x:row>
    <x:row r="127">
      <x:c r="A127" s="16" t="str">
        <x:v>TEST-01</x:v>
      </x:c>
      <x:c r="B127" s="16" t="str">
        <x:v>Test notification targeting and read-state updates</x:v>
      </x:c>
      <x:c r="C127" s="16" t="str">
        <x:v>Given the PAULUS Test notification targeting and read-state updates task is implemented, the feature should meet the approved capstone requirements and pass review against its expected behavior.</x:v>
      </x:c>
      <x:c r="D127" s="18" t="n">
        <x:v>0.0020982142857142857</x:v>
      </x:c>
      <x:c r="E127" s="16" t="str">
        <x:v>planning/backlog</x:v>
      </x:c>
      <x:c r="F127" s="17" t="b">
        <x:v>0</x:v>
      </x:c>
    </x:row>
    <x:row r="128">
      <x:c r="A128" s="16" t="str">
        <x:v>FIX-01</x:v>
      </x:c>
      <x:c r="B128" s="16" t="str">
        <x:v>Resolve notification API issues</x:v>
      </x:c>
      <x:c r="C128" s="16" t="str">
        <x:v>Given the PAULUS Resolve notification API issues task is implemented, the feature should meet the approved capstone requirements and pass review against its expected behavior.</x:v>
      </x:c>
      <x:c r="D128" s="18" t="n">
        <x:v>0.0020982142857142857</x:v>
      </x:c>
      <x:c r="E128" s="16" t="str">
        <x:v>planning/backlog</x:v>
      </x:c>
      <x:c r="F128" s="17" t="b">
        <x:v>0</x:v>
      </x:c>
    </x:row>
    <x:row r="129">
      <x:c r="A129" s="16" t="str">
        <x:v>UAT-01</x:v>
      </x:c>
      <x:c r="B129" s="16" t="str">
        <x:v>Validate notification API with frontend workflow</x:v>
      </x:c>
      <x:c r="C129" s="16" t="str">
        <x:v>Given the PAULUS Validate notification API with frontend workflow task is implemented, the feature should meet the approved capstone requirements and pass review against its expected behavior.</x:v>
      </x:c>
      <x:c r="D129" s="18" t="n">
        <x:v>0.0020982142857142857</x:v>
      </x:c>
      <x:c r="E129" s="16" t="str">
        <x:v>planning/backlog</x:v>
      </x:c>
      <x:c r="F129" s="17" t="b">
        <x:v>0</x:v>
      </x:c>
    </x:row>
    <x:row r="130">
      <x:c r="A130" s="16" t="str">
        <x:v>MS-01</x:v>
      </x:c>
      <x:c r="B130" s="16" t="str">
        <x:v>Document notification API process</x:v>
      </x:c>
      <x:c r="C130" s="16" t="str">
        <x:v>Given the PAULUS Document notification API process task is implemented, the feature should meet the approved capstone requirements and pass review against its expected behavior.</x:v>
      </x:c>
      <x:c r="D130" s="18" t="n">
        <x:v>0.0020982142857142857</x:v>
      </x:c>
      <x:c r="E130" s="16" t="str">
        <x:v>planning/backlog</x:v>
      </x:c>
      <x:c r="F130" s="17" t="b">
        <x:v>0</x:v>
      </x:c>
    </x:row>
    <x:row r="131">
      <x:c r="A131" s="26" t="str">
        <x:v>Total Accomplished</x:v>
      </x:c>
      <x:c r="B131" s="26" t="str"/>
      <x:c r="C131" s="26" t="str"/>
      <x:c r="D131" s="27" t="n">
        <x:f>SUM(D124:D130)</x:f>
        <x:v>0.014687500000000003</x:v>
      </x:c>
      <x:c r="E131" s="27" t="str"/>
      <x:c r="F131" s="27" t="n">
        <x:f>SUMIF(F124:F130, TRUE, D124:D130)</x:f>
        <x:v>0</x:v>
      </x:c>
    </x:row>
    <x:row r="133">
      <x:c r="A133" s="4" t="str">
        <x:v>Task ID</x:v>
      </x:c>
      <x:c r="B133" s="4" t="str">
        <x:v>ARCHIVEAPI</x:v>
      </x:c>
      <x:c r="C133" s="4" t="str">
        <x:v>Task Name</x:v>
      </x:c>
      <x:c r="D133" s="4" t="str">
        <x:v>Archive and Restore API</x:v>
      </x:c>
      <x:c r="E133" s="4" t="str">
        <x:v>ClickUp Status</x:v>
      </x:c>
      <x:c r="F133" s="4" t="str">
        <x:v>planning/backlog</x:v>
      </x:c>
    </x:row>
    <x:row r="134">
      <x:c r="A134" s="8" t="str">
        <x:v>Subtask ID</x:v>
      </x:c>
      <x:c r="B134" s="8" t="str">
        <x:v>Subtask / Task Name</x:v>
      </x:c>
      <x:c r="C134" s="8" t="str">
        <x:v>Acceptance Criteria</x:v>
      </x:c>
      <x:c r="D134" s="8" t="str">
        <x:v>Weight Allocation</x:v>
      </x:c>
      <x:c r="E134" s="8" t="str">
        <x:v>ClickUp Status</x:v>
      </x:c>
      <x:c r="F134" s="8" t="str">
        <x:v>Accepted</x:v>
      </x:c>
    </x:row>
    <x:row r="135">
      <x:c r="A135" s="16" t="str">
        <x:v>REQ-01</x:v>
      </x:c>
      <x:c r="B135" s="16" t="str">
        <x:v>Define archive API requirements</x:v>
      </x:c>
      <x:c r="C135" s="16" t="str">
        <x:v>Given the PAULUS Define archive API requirements task is implemented, the feature should meet the approved capstone requirements and pass review against its expected behavior.</x:v>
      </x:c>
      <x:c r="D135" s="18" t="n">
        <x:v>0.0020982142857142857</x:v>
      </x:c>
      <x:c r="E135" s="16" t="str">
        <x:v>planning/backlog</x:v>
      </x:c>
      <x:c r="F135" s="17" t="b">
        <x:v>0</x:v>
      </x:c>
    </x:row>
    <x:row r="136">
      <x:c r="A136" s="16" t="str">
        <x:v>DES-01</x:v>
      </x:c>
      <x:c r="B136" s="16" t="str">
        <x:v>Design archive and restore API flow</x:v>
      </x:c>
      <x:c r="C136" s="16" t="str">
        <x:v>Given the PAULUS Design archive and restore API flow task is implemented, the feature should meet the approved capstone requirements and pass review against its expected behavior.</x:v>
      </x:c>
      <x:c r="D136" s="18" t="n">
        <x:v>0.0020982142857142857</x:v>
      </x:c>
      <x:c r="E136" s="16" t="str">
        <x:v>planning/backlog</x:v>
      </x:c>
      <x:c r="F136" s="17" t="b">
        <x:v>0</x:v>
      </x:c>
    </x:row>
    <x:row r="137">
      <x:c r="A137" s="16" t="str">
        <x:v>DEV-01</x:v>
      </x:c>
      <x:c r="B137" s="16" t="str">
        <x:v>Build archive and restore API logic</x:v>
      </x:c>
      <x:c r="C137" s="16" t="str">
        <x:v>Given the PAULUS Build archive and restore API logic task is implemented, the feature should meet the approved capstone requirements and pass review against its expected behavior.</x:v>
      </x:c>
      <x:c r="D137" s="18" t="n">
        <x:v>0.0020982142857142857</x:v>
      </x:c>
      <x:c r="E137" s="16" t="str">
        <x:v>planning/backlog</x:v>
      </x:c>
      <x:c r="F137" s="17" t="b">
        <x:v>0</x:v>
      </x:c>
    </x:row>
    <x:row r="138">
      <x:c r="A138" s="16" t="str">
        <x:v>TEST-01</x:v>
      </x:c>
      <x:c r="B138" s="16" t="str">
        <x:v>Test archive permissions and restore behavior</x:v>
      </x:c>
      <x:c r="C138" s="16" t="str">
        <x:v>Given the PAULUS Test archive permissions and restore behavior task is implemented, the feature should meet the approved capstone requirements and pass review against its expected behavior.</x:v>
      </x:c>
      <x:c r="D138" s="18" t="n">
        <x:v>0.0020982142857142857</x:v>
      </x:c>
      <x:c r="E138" s="16" t="str">
        <x:v>planning/backlog</x:v>
      </x:c>
      <x:c r="F138" s="17" t="b">
        <x:v>0</x:v>
      </x:c>
    </x:row>
    <x:row r="139">
      <x:c r="A139" s="16" t="str">
        <x:v>FIX-01</x:v>
      </x:c>
      <x:c r="B139" s="16" t="str">
        <x:v>Resolve archive API issues</x:v>
      </x:c>
      <x:c r="C139" s="16" t="str">
        <x:v>Given the PAULUS Resolve archive API issues task is implemented, the feature should meet the approved capstone requirements and pass review against its expected behavior.</x:v>
      </x:c>
      <x:c r="D139" s="18" t="n">
        <x:v>0.0020982142857142857</x:v>
      </x:c>
      <x:c r="E139" s="16" t="str">
        <x:v>planning/backlog</x:v>
      </x:c>
      <x:c r="F139" s="17" t="b">
        <x:v>0</x:v>
      </x:c>
    </x:row>
    <x:row r="140">
      <x:c r="A140" s="16" t="str">
        <x:v>UAT-01</x:v>
      </x:c>
      <x:c r="B140" s="16" t="str">
        <x:v>Validate archive API with frontend workflow</x:v>
      </x:c>
      <x:c r="C140" s="16" t="str">
        <x:v>Given the PAULUS Validate archive API with frontend workflow task is implemented, the feature should meet the approved capstone requirements and pass review against its expected behavior.</x:v>
      </x:c>
      <x:c r="D140" s="18" t="n">
        <x:v>0.0020982142857142857</x:v>
      </x:c>
      <x:c r="E140" s="16" t="str">
        <x:v>planning/backlog</x:v>
      </x:c>
      <x:c r="F140" s="17" t="b">
        <x:v>0</x:v>
      </x:c>
    </x:row>
    <x:row r="141">
      <x:c r="A141" s="16" t="str">
        <x:v>MS-01</x:v>
      </x:c>
      <x:c r="B141" s="16" t="str">
        <x:v>Document archive API process</x:v>
      </x:c>
      <x:c r="C141" s="16" t="str">
        <x:v>Given the PAULUS Document archive API process task is implemented, the feature should meet the approved capstone requirements and pass review against its expected behavior.</x:v>
      </x:c>
      <x:c r="D141" s="18" t="n">
        <x:v>0.0020982142857142857</x:v>
      </x:c>
      <x:c r="E141" s="16" t="str">
        <x:v>planning/backlog</x:v>
      </x:c>
      <x:c r="F141" s="17" t="b">
        <x:v>0</x:v>
      </x:c>
    </x:row>
    <x:row r="142">
      <x:c r="A142" s="26" t="str">
        <x:v>Total Accomplished</x:v>
      </x:c>
      <x:c r="B142" s="26" t="str"/>
      <x:c r="C142" s="26" t="str"/>
      <x:c r="D142" s="27" t="n">
        <x:f>SUM(D135:D141)</x:f>
        <x:v>0.014687500000000003</x:v>
      </x:c>
      <x:c r="E142" s="27" t="str"/>
      <x:c r="F142" s="27" t="n">
        <x:f>SUMIF(F135:F141, TRUE, D135:D141)</x:f>
        <x:v>0</x:v>
      </x:c>
    </x:row>
    <x:row r="144">
      <x:c r="A144" s="4" t="str">
        <x:v>Task ID</x:v>
      </x:c>
      <x:c r="B144" s="4" t="str">
        <x:v>FINBACKUPAPI</x:v>
      </x:c>
      <x:c r="C144" s="4" t="str">
        <x:v>Task Name</x:v>
      </x:c>
      <x:c r="D144" s="4" t="str">
        <x:v>Financial Backup Input API</x:v>
      </x:c>
      <x:c r="E144" s="4" t="str">
        <x:v>ClickUp Status</x:v>
      </x:c>
      <x:c r="F144" s="4" t="str">
        <x:v>planning/backlog</x:v>
      </x:c>
    </x:row>
    <x:row r="145">
      <x:c r="A145" s="8" t="str">
        <x:v>Subtask ID</x:v>
      </x:c>
      <x:c r="B145" s="8" t="str">
        <x:v>Subtask / Task Name</x:v>
      </x:c>
      <x:c r="C145" s="8" t="str">
        <x:v>Acceptance Criteria</x:v>
      </x:c>
      <x:c r="D145" s="8" t="str">
        <x:v>Weight Allocation</x:v>
      </x:c>
      <x:c r="E145" s="8" t="str">
        <x:v>ClickUp Status</x:v>
      </x:c>
      <x:c r="F145" s="8" t="str">
        <x:v>Accepted</x:v>
      </x:c>
    </x:row>
    <x:row r="146">
      <x:c r="A146" s="16" t="str">
        <x:v>REQ-01</x:v>
      </x:c>
      <x:c r="B146" s="16" t="str">
        <x:v>Define financial backup input API requirements</x:v>
      </x:c>
      <x:c r="C146" s="16" t="str">
        <x:v>Given the PAULUS Define financial backup input API requirements task is implemented, the feature should meet the approved capstone requirements and pass review against its expected behavior.</x:v>
      </x:c>
      <x:c r="D146" s="18" t="n">
        <x:v>0.0020982142857142857</x:v>
      </x:c>
      <x:c r="E146" s="16" t="str">
        <x:v>planning/backlog</x:v>
      </x:c>
      <x:c r="F146" s="17" t="b">
        <x:v>0</x:v>
      </x:c>
    </x:row>
    <x:row r="147">
      <x:c r="A147" s="16" t="str">
        <x:v>DES-01</x:v>
      </x:c>
      <x:c r="B147" s="16" t="str">
        <x:v>Design backup upload and import endpoint flow</x:v>
      </x:c>
      <x:c r="C147" s="16" t="str">
        <x:v>Given the PAULUS Design backup upload and import endpoint flow task is implemented, the feature should meet the approved capstone requirements and pass review against its expected behavior.</x:v>
      </x:c>
      <x:c r="D147" s="18" t="n">
        <x:v>0.0020982142857142857</x:v>
      </x:c>
      <x:c r="E147" s="16" t="str">
        <x:v>planning/backlog</x:v>
      </x:c>
      <x:c r="F147" s="17" t="b">
        <x:v>0</x:v>
      </x:c>
    </x:row>
    <x:row r="148">
      <x:c r="A148" s="16" t="str">
        <x:v>DEV-01</x:v>
      </x:c>
      <x:c r="B148" s="16" t="str">
        <x:v>Build backup upload and import endpoint</x:v>
      </x:c>
      <x:c r="C148" s="16" t="str">
        <x:v>Given the PAULUS Build backup upload and import endpoint task is implemented, the feature should meet the approved capstone requirements and pass review against its expected behavior.</x:v>
      </x:c>
      <x:c r="D148" s="18" t="n">
        <x:v>0.0020982142857142857</x:v>
      </x:c>
      <x:c r="E148" s="16" t="str">
        <x:v>planning/backlog</x:v>
      </x:c>
      <x:c r="F148" s="17" t="b">
        <x:v>0</x:v>
      </x:c>
    </x:row>
    <x:row r="149">
      <x:c r="A149" s="16" t="str">
        <x:v>TEST-01</x:v>
      </x:c>
      <x:c r="B149" s="16" t="str">
        <x:v>Test import errors, duplicates, and validation</x:v>
      </x:c>
      <x:c r="C149" s="16" t="str">
        <x:v>Given the PAULUS Test import errors, duplicates, and validation task is implemented, the feature should meet the approved capstone requirements and pass review against its expected behavior.</x:v>
      </x:c>
      <x:c r="D149" s="18" t="n">
        <x:v>0.0020982142857142857</x:v>
      </x:c>
      <x:c r="E149" s="16" t="str">
        <x:v>planning/backlog</x:v>
      </x:c>
      <x:c r="F149" s="17" t="b">
        <x:v>0</x:v>
      </x:c>
    </x:row>
    <x:row r="150">
      <x:c r="A150" s="16" t="str">
        <x:v>FIX-01</x:v>
      </x:c>
      <x:c r="B150" s="16" t="str">
        <x:v>Resolve financial backup API issues</x:v>
      </x:c>
      <x:c r="C150" s="16" t="str">
        <x:v>Given the PAULUS Resolve financial backup API issues task is implemented, the feature should meet the approved capstone requirements and pass review against its expected behavior.</x:v>
      </x:c>
      <x:c r="D150" s="18" t="n">
        <x:v>0.0020982142857142857</x:v>
      </x:c>
      <x:c r="E150" s="16" t="str">
        <x:v>planning/backlog</x:v>
      </x:c>
      <x:c r="F150" s="17" t="b">
        <x:v>0</x:v>
      </x:c>
    </x:row>
    <x:row r="151">
      <x:c r="A151" s="16" t="str">
        <x:v>UAT-01</x:v>
      </x:c>
      <x:c r="B151" s="16" t="str">
        <x:v>Validate financial backup API with upload workflow</x:v>
      </x:c>
      <x:c r="C151" s="16" t="str">
        <x:v>Given the PAULUS Validate financial backup API with upload workflow task is implemented, the feature should meet the approved capstone requirements and pass review against its expected behavior.</x:v>
      </x:c>
      <x:c r="D151" s="18" t="n">
        <x:v>0.0020982142857142857</x:v>
      </x:c>
      <x:c r="E151" s="16" t="str">
        <x:v>planning/backlog</x:v>
      </x:c>
      <x:c r="F151" s="17" t="b">
        <x:v>0</x:v>
      </x:c>
    </x:row>
    <x:row r="152">
      <x:c r="A152" s="16" t="str">
        <x:v>MS-01</x:v>
      </x:c>
      <x:c r="B152" s="16" t="str">
        <x:v>Document financial backup input API process</x:v>
      </x:c>
      <x:c r="C152" s="16" t="str">
        <x:v>Given the PAULUS Document financial backup input API process task is implemented, the feature should meet the approved capstone requirements and pass review against its expected behavior.</x:v>
      </x:c>
      <x:c r="D152" s="18" t="n">
        <x:v>0.0020982142857142857</x:v>
      </x:c>
      <x:c r="E152" s="16" t="str">
        <x:v>planning/backlog</x:v>
      </x:c>
      <x:c r="F152" s="17" t="b">
        <x:v>0</x:v>
      </x:c>
    </x:row>
    <x:row r="153">
      <x:c r="A153" s="26" t="str">
        <x:v>Total Accomplished</x:v>
      </x:c>
      <x:c r="B153" s="26" t="str"/>
      <x:c r="C153" s="26" t="str"/>
      <x:c r="D153" s="27" t="n">
        <x:f>SUM(D146:D152)</x:f>
        <x:v>0.014687500000000003</x:v>
      </x:c>
      <x:c r="E153" s="27" t="str"/>
      <x:c r="F153" s="27" t="n">
        <x:f>SUMIF(F146:F152, TRUE, D146:D152)</x:f>
        <x:v>0</x:v>
      </x:c>
    </x:row>
    <x:row r="155">
      <x:c r="A155" s="4" t="str">
        <x:v>Task ID</x:v>
      </x:c>
      <x:c r="B155" s="4" t="str">
        <x:v>CHATAPI</x:v>
      </x:c>
      <x:c r="C155" s="4" t="str">
        <x:v>Task Name</x:v>
      </x:c>
      <x:c r="D155" s="4" t="str">
        <x:v>AI Chatbot API</x:v>
      </x:c>
      <x:c r="E155" s="4" t="str">
        <x:v>ClickUp Status</x:v>
      </x:c>
      <x:c r="F155" s="4" t="str">
        <x:v>planning/backlog</x:v>
      </x:c>
    </x:row>
    <x:row r="156">
      <x:c r="A156" s="8" t="str">
        <x:v>Subtask ID</x:v>
      </x:c>
      <x:c r="B156" s="8" t="str">
        <x:v>Subtask / Task Name</x:v>
      </x:c>
      <x:c r="C156" s="8" t="str">
        <x:v>Acceptance Criteria</x:v>
      </x:c>
      <x:c r="D156" s="8" t="str">
        <x:v>Weight Allocation</x:v>
      </x:c>
      <x:c r="E156" s="8" t="str">
        <x:v>ClickUp Status</x:v>
      </x:c>
      <x:c r="F156" s="8" t="str">
        <x:v>Accepted</x:v>
      </x:c>
    </x:row>
    <x:row r="157">
      <x:c r="A157" s="16" t="str">
        <x:v>REQ-01</x:v>
      </x:c>
      <x:c r="B157" s="16" t="str">
        <x:v>Define AI chatbot API requirements</x:v>
      </x:c>
      <x:c r="C157" s="16" t="str">
        <x:v>Given the PAULUS Define AI chatbot API requirements task is implemented, the feature should meet the approved capstone requirements and pass review against its expected behavior.</x:v>
      </x:c>
      <x:c r="D157" s="18" t="n">
        <x:v>0.0024479166666666664</x:v>
      </x:c>
      <x:c r="E157" s="16" t="str">
        <x:v>standardized subtask - URL pending</x:v>
      </x:c>
      <x:c r="F157" s="17" t="b">
        <x:v>0</x:v>
      </x:c>
    </x:row>
    <x:row r="158">
      <x:c r="A158" s="16" t="str">
        <x:v>DES-01</x:v>
      </x:c>
      <x:c r="B158" s="16" t="str">
        <x:v>Design AI chatbot API structure and workflow</x:v>
      </x:c>
      <x:c r="C158" s="16" t="str">
        <x:v>Given the PAULUS Design AI chatbot API structure and workflow task is implemented, the feature should meet the approved capstone requirements and pass review against its expected behavior.</x:v>
      </x:c>
      <x:c r="D158" s="18" t="n">
        <x:v>0.0024479166666666664</x:v>
      </x:c>
      <x:c r="E158" s="16" t="str">
        <x:v>standardized subtask - URL pending</x:v>
      </x:c>
      <x:c r="F158" s="17" t="b">
        <x:v>0</x:v>
      </x:c>
    </x:row>
    <x:row r="159">
      <x:c r="A159" s="16" t="str">
        <x:v>DEV-01</x:v>
      </x:c>
      <x:c r="B159" s="16" t="str">
        <x:v>Implement AI chatbot API baseline functionality</x:v>
      </x:c>
      <x:c r="C159" s="16" t="str">
        <x:v>Given the PAULUS Implement AI chatbot API baseline functionality task is implemented, the feature should meet the approved capstone requirements and pass review against its expected behavior.</x:v>
      </x:c>
      <x:c r="D159" s="18" t="n">
        <x:v>0.0024479166666666664</x:v>
      </x:c>
      <x:c r="E159" s="16" t="str">
        <x:v>standardized subtask - URL pending</x:v>
      </x:c>
      <x:c r="F159" s="17" t="b">
        <x:v>0</x:v>
      </x:c>
    </x:row>
    <x:row r="160">
      <x:c r="A160" s="16" t="str">
        <x:v>TEST-01</x:v>
      </x:c>
      <x:c r="B160" s="16" t="str">
        <x:v>Test AI chatbot API behavior and outputs</x:v>
      </x:c>
      <x:c r="C160" s="16" t="str">
        <x:v>Given the PAULUS Test AI chatbot API behavior and outputs task is implemented, the feature should meet the approved capstone requirements and pass review against its expected behavior.</x:v>
      </x:c>
      <x:c r="D160" s="18" t="n">
        <x:v>0.0024479166666666664</x:v>
      </x:c>
      <x:c r="E160" s="16" t="str">
        <x:v>standardized subtask - URL pending</x:v>
      </x:c>
      <x:c r="F160" s="17" t="b">
        <x:v>0</x:v>
      </x:c>
    </x:row>
    <x:row r="161">
      <x:c r="A161" s="16" t="str">
        <x:v>FIX-01</x:v>
      </x:c>
      <x:c r="B161" s="16" t="str">
        <x:v>Resolve AI chatbot API issues</x:v>
      </x:c>
      <x:c r="C161" s="16" t="str">
        <x:v>Given the PAULUS Resolve AI chatbot API issues task is implemented, the feature should meet the approved capstone requirements and pass review against its expected behavior.</x:v>
      </x:c>
      <x:c r="D161" s="18" t="n">
        <x:v>0.0024479166666666664</x:v>
      </x:c>
      <x:c r="E161" s="16" t="str">
        <x:v>standardized subtask - URL pending</x:v>
      </x:c>
      <x:c r="F161" s="17" t="b">
        <x:v>0</x:v>
      </x:c>
    </x:row>
    <x:row r="162">
      <x:c r="A162" s="16" t="str">
        <x:v>MS-01</x:v>
      </x:c>
      <x:c r="B162" s="16" t="str">
        <x:v>Document AI chatbot API in Chapter 4</x:v>
      </x:c>
      <x:c r="C162" s="16" t="str">
        <x:v>Given the PAULUS Document AI chatbot API in Chapter 4 task is implemented, the feature should meet the approved capstone requirements and pass review against its expected behavior.</x:v>
      </x:c>
      <x:c r="D162" s="18" t="n">
        <x:v>0.0024479166666666664</x:v>
      </x:c>
      <x:c r="E162" s="16" t="str">
        <x:v>standardized subtask - URL pending</x:v>
      </x:c>
      <x:c r="F162" s="17" t="b">
        <x:v>0</x:v>
      </x:c>
    </x:row>
    <x:row r="163">
      <x:c r="A163" s="26" t="str">
        <x:v>Total Accomplished</x:v>
      </x:c>
      <x:c r="B163" s="26" t="str"/>
      <x:c r="C163" s="26" t="str"/>
      <x:c r="D163" s="27" t="n">
        <x:f>SUM(D157:D162)</x:f>
        <x:v>0.014687499999999997</x:v>
      </x:c>
      <x:c r="E163" s="27" t="str"/>
      <x:c r="F163" s="27" t="n">
        <x:f>SUMIF(F157:F162, TRUE, D157:D162)</x:f>
        <x:v>0</x:v>
      </x:c>
    </x:row>
    <x:row r="165">
      <x:c r="A165" s="4" t="str">
        <x:v>Task ID</x:v>
      </x:c>
      <x:c r="B165" s="4" t="str">
        <x:v>PRSTAPI</x:v>
      </x:c>
      <x:c r="C165" s="4" t="str">
        <x:v>Task Name</x:v>
      </x:c>
      <x:c r="D165" s="4" t="str">
        <x:v>Priest Health Records API</x:v>
      </x:c>
      <x:c r="E165" s="4" t="str">
        <x:v>ClickUp Status</x:v>
      </x:c>
      <x:c r="F165" s="4" t="str">
        <x:v>in progress</x:v>
      </x:c>
    </x:row>
    <x:row r="166">
      <x:c r="A166" s="8" t="str">
        <x:v>Subtask ID</x:v>
      </x:c>
      <x:c r="B166" s="8" t="str">
        <x:v>Subtask / Task Name</x:v>
      </x:c>
      <x:c r="C166" s="8" t="str">
        <x:v>Acceptance Criteria</x:v>
      </x:c>
      <x:c r="D166" s="8" t="str">
        <x:v>Weight Allocation</x:v>
      </x:c>
      <x:c r="E166" s="8" t="str">
        <x:v>ClickUp Status</x:v>
      </x:c>
      <x:c r="F166" s="8" t="str">
        <x:v>Accepted</x:v>
      </x:c>
    </x:row>
    <x:row r="167">
      <x:c r="A167" s="16" t="str">
        <x:v>REQ-01</x:v>
      </x:c>
      <x:c r="B167" s="16" t="str">
        <x:v>Define priest health records API requirements</x:v>
      </x:c>
      <x:c r="C167" s="16" t="str">
        <x:v>Given the PAULUS Define priest health records API requirements task is implemented, the feature should meet the approved capstone requirements and pass review against its expected behavior.</x:v>
      </x:c>
      <x:c r="D167" s="18" t="n">
        <x:v>0.0016319444444444443</x:v>
      </x:c>
      <x:c r="E167" s="16" t="str">
        <x:v>planning/backlog</x:v>
      </x:c>
      <x:c r="F167" s="17" t="b">
        <x:v>0</x:v>
      </x:c>
    </x:row>
    <x:row r="168">
      <x:c r="A168" s="16" t="str">
        <x:v>DES-01</x:v>
      </x:c>
      <x:c r="B168" s="16" t="str">
        <x:v>Design priest health API structure</x:v>
      </x:c>
      <x:c r="C168" s="16" t="str">
        <x:v>Given the PAULUS Design priest health API structure task is implemented, the feature should meet the approved capstone requirements and pass review against its expected behavior.</x:v>
      </x:c>
      <x:c r="D168" s="18" t="n">
        <x:v>0.0016319444444444443</x:v>
      </x:c>
      <x:c r="E168" s="16" t="str">
        <x:v>planning/backlog</x:v>
      </x:c>
      <x:c r="F168" s="17" t="b">
        <x:v>0</x:v>
      </x:c>
    </x:row>
    <x:row r="169">
      <x:c r="A169" s="16" t="str">
        <x:v>DEV-01</x:v>
      </x:c>
      <x:c r="B169" s="16" t="str">
        <x:v>Implement priest health record endpoint</x:v>
      </x:c>
      <x:c r="C169" s="16" t="str">
        <x:v>Given the PAULUS Implement priest health record endpoint task is implemented, the feature should meet the approved capstone requirements and pass review against its expected behavior.</x:v>
      </x:c>
      <x:c r="D169" s="18" t="n">
        <x:v>0.0016319444444444443</x:v>
      </x:c>
      <x:c r="E169" s="16" t="str">
        <x:v>planning/backlog</x:v>
      </x:c>
      <x:c r="F169" s="17" t="b">
        <x:v>0</x:v>
      </x:c>
    </x:row>
    <x:row r="170">
      <x:c r="A170" s="16" t="str">
        <x:v>DEV-02</x:v>
      </x:c>
      <x:c r="B170" s="16" t="str">
        <x:v>Implement health record update endpoint</x:v>
      </x:c>
      <x:c r="C170" s="16" t="str">
        <x:v>Given the PAULUS Implement health record update endpoint task is implemented, the feature should meet the approved capstone requirements and pass review against its expected behavior.</x:v>
      </x:c>
      <x:c r="D170" s="18" t="n">
        <x:v>0.0016319444444444443</x:v>
      </x:c>
      <x:c r="E170" s="16" t="str">
        <x:v>planning/backlog</x:v>
      </x:c>
      <x:c r="F170" s="17" t="b">
        <x:v>0</x:v>
      </x:c>
    </x:row>
    <x:row r="171">
      <x:c r="A171" s="16" t="str">
        <x:v>DEV-03</x:v>
      </x:c>
      <x:c r="B171" s="16" t="str">
        <x:v>Implement priest health validation logic</x:v>
      </x:c>
      <x:c r="C171" s="16" t="str">
        <x:v>Given the PAULUS Implement priest health validation logic task is implemented, the feature should meet the approved capstone requirements and pass review against its expected behavior.</x:v>
      </x:c>
      <x:c r="D171" s="18" t="n">
        <x:v>0.0016319444444444443</x:v>
      </x:c>
      <x:c r="E171" s="16" t="str">
        <x:v>planning/backlog</x:v>
      </x:c>
      <x:c r="F171" s="17" t="b">
        <x:v>0</x:v>
      </x:c>
    </x:row>
    <x:row r="172">
      <x:c r="A172" s="16" t="str">
        <x:v>TEST-01</x:v>
      </x:c>
      <x:c r="B172" s="16" t="str">
        <x:v>Test priest health API requests and responses</x:v>
      </x:c>
      <x:c r="C172" s="16" t="str">
        <x:v>Given the PAULUS Test priest health API requests and responses task is implemented, the feature should meet the approved capstone requirements and pass review against its expected behavior.</x:v>
      </x:c>
      <x:c r="D172" s="18" t="n">
        <x:v>0.0016319444444444443</x:v>
      </x:c>
      <x:c r="E172" s="16" t="str">
        <x:v>planning/backlog</x:v>
      </x:c>
      <x:c r="F172" s="17" t="b">
        <x:v>0</x:v>
      </x:c>
    </x:row>
    <x:row r="173">
      <x:c r="A173" s="16" t="str">
        <x:v>FIX-01</x:v>
      </x:c>
      <x:c r="B173" s="16" t="str">
        <x:v>Resolve priest health API errors</x:v>
      </x:c>
      <x:c r="C173" s="16" t="str">
        <x:v>Given the PAULUS Resolve priest health API errors task is implemented, the feature should meet the approved capstone requirements and pass review against its expected behavior.</x:v>
      </x:c>
      <x:c r="D173" s="18" t="n">
        <x:v>0.0016319444444444443</x:v>
      </x:c>
      <x:c r="E173" s="16" t="str">
        <x:v>planning/backlog</x:v>
      </x:c>
      <x:c r="F173" s="17" t="b">
        <x:v>0</x:v>
      </x:c>
    </x:row>
    <x:row r="174">
      <x:c r="A174" s="16" t="str">
        <x:v>UAT-01</x:v>
      </x:c>
      <x:c r="B174" s="16" t="str">
        <x:v>Validate priest health API with target users</x:v>
      </x:c>
      <x:c r="C174" s="16" t="str">
        <x:v>Given the PAULUS Validate priest health API with target users task is implemented, the feature should meet the approved capstone requirements and pass review against its expected behavior.</x:v>
      </x:c>
      <x:c r="D174" s="18" t="n">
        <x:v>0.0016319444444444443</x:v>
      </x:c>
      <x:c r="E174" s="16" t="str">
        <x:v>planning/backlog</x:v>
      </x:c>
      <x:c r="F174" s="17" t="b">
        <x:v>0</x:v>
      </x:c>
    </x:row>
    <x:row r="175">
      <x:c r="A175" s="16" t="str">
        <x:v>MS-01</x:v>
      </x:c>
      <x:c r="B175" s="16" t="str">
        <x:v>Document priest health API process</x:v>
      </x:c>
      <x:c r="C175" s="16" t="str">
        <x:v>Given the PAULUS Document priest health API process task is implemented, the feature should meet the approved capstone requirements and pass review against its expected behavior.</x:v>
      </x:c>
      <x:c r="D175" s="18" t="n">
        <x:v>0.0016319444444444443</x:v>
      </x:c>
      <x:c r="E175" s="16" t="str">
        <x:v>planning/backlog</x:v>
      </x:c>
      <x:c r="F175" s="17" t="b">
        <x:v>0</x:v>
      </x:c>
    </x:row>
    <x:row r="176">
      <x:c r="A176" s="26" t="str">
        <x:v>Total Accomplished</x:v>
      </x:c>
      <x:c r="B176" s="26" t="str"/>
      <x:c r="C176" s="26" t="str"/>
      <x:c r="D176" s="27" t="n">
        <x:f>SUM(D167:D175)</x:f>
        <x:v>0.0146875</x:v>
      </x:c>
      <x:c r="E176" s="27" t="str"/>
      <x:c r="F176" s="27" t="n">
        <x:f>SUMIF(F167:F175, TRUE, D167:D175)</x:f>
        <x:v>0</x:v>
      </x:c>
    </x:row>
    <x:row r="178">
      <x:c r="A178" s="4" t="str">
        <x:v>Task ID</x:v>
      </x:c>
      <x:c r="B178" s="4" t="str">
        <x:v>AUDIT</x:v>
      </x:c>
      <x:c r="C178" s="4" t="str">
        <x:v>Task Name</x:v>
      </x:c>
      <x:c r="D178" s="4" t="str">
        <x:v>Audit Trail and Activity Log API</x:v>
      </x:c>
      <x:c r="E178" s="4" t="str">
        <x:v>ClickUp Status</x:v>
      </x:c>
      <x:c r="F178" s="4" t="str">
        <x:v>ready for work</x:v>
      </x:c>
    </x:row>
    <x:row r="179">
      <x:c r="A179" s="8" t="str">
        <x:v>Subtask ID</x:v>
      </x:c>
      <x:c r="B179" s="8" t="str">
        <x:v>Subtask / Task Name</x:v>
      </x:c>
      <x:c r="C179" s="8" t="str">
        <x:v>Acceptance Criteria</x:v>
      </x:c>
      <x:c r="D179" s="8" t="str">
        <x:v>Weight Allocation</x:v>
      </x:c>
      <x:c r="E179" s="8" t="str">
        <x:v>ClickUp Status</x:v>
      </x:c>
      <x:c r="F179" s="8" t="str">
        <x:v>Accepted</x:v>
      </x:c>
    </x:row>
    <x:row r="180">
      <x:c r="A180" s="16" t="str">
        <x:v>REQ-01</x:v>
      </x:c>
      <x:c r="B180" s="16" t="str">
        <x:v>Define audit trail and activity log API requirements</x:v>
      </x:c>
      <x:c r="C180" s="16" t="str">
        <x:v>Given the PAULUS Define audit trail and activity log API requirements task is implemented, the feature should meet the approved capstone requirements and pass review against its expected behavior.</x:v>
      </x:c>
      <x:c r="D180" s="18" t="n">
        <x:v>0.0024479166666666664</x:v>
      </x:c>
      <x:c r="E180" s="16" t="str">
        <x:v>standardized subtask - URL pending</x:v>
      </x:c>
      <x:c r="F180" s="17" t="b">
        <x:v>0</x:v>
      </x:c>
    </x:row>
    <x:row r="181">
      <x:c r="A181" s="16" t="str">
        <x:v>DES-01</x:v>
      </x:c>
      <x:c r="B181" s="16" t="str">
        <x:v>Design audit trail and activity log API structure and workflow</x:v>
      </x:c>
      <x:c r="C181" s="16" t="str">
        <x:v>Given the PAULUS Design audit trail and activity log API structure and workflow task is implemented, the feature should meet the approved capstone requirements and pass review against its expected behavior.</x:v>
      </x:c>
      <x:c r="D181" s="18" t="n">
        <x:v>0.0024479166666666664</x:v>
      </x:c>
      <x:c r="E181" s="16" t="str">
        <x:v>standardized subtask - URL pending</x:v>
      </x:c>
      <x:c r="F181" s="17" t="b">
        <x:v>0</x:v>
      </x:c>
    </x:row>
    <x:row r="182">
      <x:c r="A182" s="16" t="str">
        <x:v>DEV-01</x:v>
      </x:c>
      <x:c r="B182" s="16" t="str">
        <x:v>Implement audit trail and activity log API baseline functionality</x:v>
      </x:c>
      <x:c r="C182" s="16" t="str">
        <x:v>Given the PAULUS Implement audit trail and activity log API baseline functionality task is implemented, the feature should meet the approved capstone requirements and pass review against its expected behavior.</x:v>
      </x:c>
      <x:c r="D182" s="18" t="n">
        <x:v>0.0024479166666666664</x:v>
      </x:c>
      <x:c r="E182" s="16" t="str">
        <x:v>standardized subtask - URL pending</x:v>
      </x:c>
      <x:c r="F182" s="17" t="b">
        <x:v>0</x:v>
      </x:c>
    </x:row>
    <x:row r="183">
      <x:c r="A183" s="16" t="str">
        <x:v>TEST-01</x:v>
      </x:c>
      <x:c r="B183" s="16" t="str">
        <x:v>Test audit trail and activity log API behavior and outputs</x:v>
      </x:c>
      <x:c r="C183" s="16" t="str">
        <x:v>Given the PAULUS Test audit trail and activity log API behavior and outputs task is implemented, the feature should meet the approved capstone requirements and pass review against its expected behavior.</x:v>
      </x:c>
      <x:c r="D183" s="18" t="n">
        <x:v>0.0024479166666666664</x:v>
      </x:c>
      <x:c r="E183" s="16" t="str">
        <x:v>standardized subtask - URL pending</x:v>
      </x:c>
      <x:c r="F183" s="17" t="b">
        <x:v>0</x:v>
      </x:c>
    </x:row>
    <x:row r="184">
      <x:c r="A184" s="16" t="str">
        <x:v>FIX-01</x:v>
      </x:c>
      <x:c r="B184" s="16" t="str">
        <x:v>Resolve audit trail and activity log API issues</x:v>
      </x:c>
      <x:c r="C184" s="16" t="str">
        <x:v>Given the PAULUS Resolve audit trail and activity log API issues task is implemented, the feature should meet the approved capstone requirements and pass review against its expected behavior.</x:v>
      </x:c>
      <x:c r="D184" s="18" t="n">
        <x:v>0.0024479166666666664</x:v>
      </x:c>
      <x:c r="E184" s="16" t="str">
        <x:v>standardized subtask - URL pending</x:v>
      </x:c>
      <x:c r="F184" s="17" t="b">
        <x:v>0</x:v>
      </x:c>
    </x:row>
    <x:row r="185">
      <x:c r="A185" s="16" t="str">
        <x:v>MS-01</x:v>
      </x:c>
      <x:c r="B185" s="16" t="str">
        <x:v>Document audit trail and activity log API in Chapter 4</x:v>
      </x:c>
      <x:c r="C185" s="16" t="str">
        <x:v>Given the PAULUS Document audit trail and activity log API in Chapter 4 task is implemented, the feature should meet the approved capstone requirements and pass review against its expected behavior.</x:v>
      </x:c>
      <x:c r="D185" s="18" t="n">
        <x:v>0.0024479166666666664</x:v>
      </x:c>
      <x:c r="E185" s="16" t="str">
        <x:v>standardized subtask - URL pending</x:v>
      </x:c>
      <x:c r="F185" s="17" t="b">
        <x:v>0</x:v>
      </x:c>
    </x:row>
    <x:row r="186">
      <x:c r="A186" s="26" t="str">
        <x:v>Total Accomplished</x:v>
      </x:c>
      <x:c r="B186" s="26" t="str"/>
      <x:c r="C186" s="26" t="str"/>
      <x:c r="D186" s="27" t="n">
        <x:f>SUM(D180:D185)</x:f>
        <x:v>0.014687499999999997</x:v>
      </x:c>
      <x:c r="E186" s="27" t="str"/>
      <x:c r="F186" s="27" t="n">
        <x:f>SUMIF(F180:F185, TRUE, D180:D185)</x:f>
        <x:v>0</x:v>
      </x:c>
    </x:row>
    <x:row r="189">
      <x:c r="A189" s="34" t="str">
        <x:v>Module Accomplishment</x:v>
      </x:c>
      <x:c r="B189" s="34" t="str">
        <x:v>MOD-BE</x:v>
      </x:c>
      <x:c r="C189" s="34" t="str">
        <x:v>Backend and API Services</x:v>
      </x:c>
      <x:c r="D189" s="35" t="n">
        <x:v>0.235</x:v>
      </x:c>
      <x:c r="E189" s="35" t="str"/>
      <x:c r="F189" s="35" t="n">
        <x:f>SUM('MOD-BE'!F12,'MOD-BE'!F24,'MOD-BE'!F37,'MOD-BE'!F49,'MOD-BE'!F62,'MOD-BE'!F75,'MOD-BE'!F88,'MOD-BE'!F98,'MOD-BE'!F109,'MOD-BE'!F120,'MOD-BE'!F131,'MOD-BE'!F142,'MOD-BE'!F153,'MOD-BE'!F163,'MOD-BE'!F176,'MOD-BE'!F186)</x:f>
        <x:v>0</x:v>
      </x:c>
    </x:row>
  </x:sheetData>
  <x:dataValidations count="16">
    <x:dataValidation type="list" sqref="F3:F11">
      <x:formula1>"TRUE,FALSE"</x:formula1>
    </x:dataValidation>
    <x:dataValidation type="list" sqref="F16:F23">
      <x:formula1>"TRUE,FALSE"</x:formula1>
    </x:dataValidation>
    <x:dataValidation type="list" sqref="F28:F36">
      <x:formula1>"TRUE,FALSE"</x:formula1>
    </x:dataValidation>
    <x:dataValidation type="list" sqref="F41:F48">
      <x:formula1>"TRUE,FALSE"</x:formula1>
    </x:dataValidation>
    <x:dataValidation type="list" sqref="F53:F61">
      <x:formula1>"TRUE,FALSE"</x:formula1>
    </x:dataValidation>
    <x:dataValidation type="list" sqref="F66:F74">
      <x:formula1>"TRUE,FALSE"</x:formula1>
    </x:dataValidation>
    <x:dataValidation type="list" sqref="F79:F87">
      <x:formula1>"TRUE,FALSE"</x:formula1>
    </x:dataValidation>
    <x:dataValidation type="list" sqref="F92:F97">
      <x:formula1>"TRUE,FALSE"</x:formula1>
    </x:dataValidation>
    <x:dataValidation type="list" sqref="F102:F108">
      <x:formula1>"TRUE,FALSE"</x:formula1>
    </x:dataValidation>
    <x:dataValidation type="list" sqref="F113:F119">
      <x:formula1>"TRUE,FALSE"</x:formula1>
    </x:dataValidation>
    <x:dataValidation type="list" sqref="F124:F130">
      <x:formula1>"TRUE,FALSE"</x:formula1>
    </x:dataValidation>
    <x:dataValidation type="list" sqref="F135:F141">
      <x:formula1>"TRUE,FALSE"</x:formula1>
    </x:dataValidation>
    <x:dataValidation type="list" sqref="F146:F152">
      <x:formula1>"TRUE,FALSE"</x:formula1>
    </x:dataValidation>
    <x:dataValidation type="list" sqref="F157:F162">
      <x:formula1>"TRUE,FALSE"</x:formula1>
    </x:dataValidation>
    <x:dataValidation type="list" sqref="F167:F175">
      <x:formula1>"TRUE,FALSE"</x:formula1>
    </x:dataValidation>
    <x:dataValidation type="list" sqref="F180:F185">
      <x:formula1>"TRUE,FALSE"</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32.5" hidden="0" customWidth="1"/>
    <x:col min="3" max="3" width="53.75" hidden="0" customWidth="1"/>
    <x:col min="4" max="4" width="15" hidden="0" customWidth="1"/>
    <x:col min="5" max="5" width="16.8799991607666" hidden="0" customWidth="1"/>
    <x:col min="6" max="6" width="16.8799991607666" hidden="0" customWidth="1"/>
  </x:cols>
  <x:sheetData>
    <x:row r="1">
      <x:c r="A1" s="4" t="str">
        <x:v>Task ID</x:v>
      </x:c>
      <x:c r="B1" s="4" t="str">
        <x:v>USERDB</x:v>
      </x:c>
      <x:c r="C1" s="4" t="str">
        <x:v>Task Name</x:v>
      </x:c>
      <x:c r="D1" s="4" t="str">
        <x:v>User and Role Tables</x:v>
      </x:c>
      <x:c r="E1" s="4" t="str">
        <x:v>ClickUp Status</x:v>
      </x:c>
      <x:c r="F1" s="4" t="str">
        <x:v>in progress</x:v>
      </x:c>
    </x:row>
    <x:row r="2">
      <x:c r="A2" s="8" t="str">
        <x:v>Subtask ID</x:v>
      </x:c>
      <x:c r="B2" s="8" t="str">
        <x:v>Subtask / Task Name</x:v>
      </x:c>
      <x:c r="C2" s="8" t="str">
        <x:v>Acceptance Criteria</x:v>
      </x:c>
      <x:c r="D2" s="8" t="str">
        <x:v>Weight Allocation</x:v>
      </x:c>
      <x:c r="E2" s="8" t="str">
        <x:v>ClickUp Status</x:v>
      </x:c>
      <x:c r="F2" s="8" t="str">
        <x:v>Accepted</x:v>
      </x:c>
    </x:row>
    <x:row r="3">
      <x:c r="A3" s="16" t="str">
        <x:v>REQ-01</x:v>
      </x:c>
      <x:c r="B3" s="16" t="str">
        <x:v>Define user and role tables requirements</x:v>
      </x:c>
      <x:c r="C3" s="16" t="str">
        <x:v>Given the PAULUS Define user and role tables requirements task is implemented, the feature should meet the approved capstone requirements and pass review against its expected behavior.</x:v>
      </x:c>
      <x:c r="D3" s="18" t="n">
        <x:v>0.0013333333333333333</x:v>
      </x:c>
      <x:c r="E3" s="16" t="str">
        <x:v>standardized subtask - URL pending</x:v>
      </x:c>
      <x:c r="F3" s="17" t="b">
        <x:v>0</x:v>
      </x:c>
    </x:row>
    <x:row r="4">
      <x:c r="A4" s="16" t="str">
        <x:v>DES-01</x:v>
      </x:c>
      <x:c r="B4" s="16" t="str">
        <x:v>Design user and role tables structure and workflow</x:v>
      </x:c>
      <x:c r="C4" s="16" t="str">
        <x:v>Given the PAULUS Design user and role tables structure and workflow task is implemented, the feature should meet the approved capstone requirements and pass review against its expected behavior.</x:v>
      </x:c>
      <x:c r="D4" s="18" t="n">
        <x:v>0.0013333333333333333</x:v>
      </x:c>
      <x:c r="E4" s="16" t="str">
        <x:v>standardized subtask - URL pending</x:v>
      </x:c>
      <x:c r="F4" s="17" t="b">
        <x:v>0</x:v>
      </x:c>
    </x:row>
    <x:row r="5">
      <x:c r="A5" s="16" t="str">
        <x:v>DEV-01</x:v>
      </x:c>
      <x:c r="B5" s="16" t="str">
        <x:v>Implement user and role tables baseline functionality</x:v>
      </x:c>
      <x:c r="C5" s="16" t="str">
        <x:v>Given the PAULUS Implement user and role tables baseline functionality task is implemented, the feature should meet the approved capstone requirements and pass review against its expected behavior.</x:v>
      </x:c>
      <x:c r="D5" s="18" t="n">
        <x:v>0.0013333333333333333</x:v>
      </x:c>
      <x:c r="E5" s="16" t="str">
        <x:v>standardized subtask - URL pending</x:v>
      </x:c>
      <x:c r="F5" s="17" t="b">
        <x:v>0</x:v>
      </x:c>
    </x:row>
    <x:row r="6">
      <x:c r="A6" s="16" t="str">
        <x:v>TEST-01</x:v>
      </x:c>
      <x:c r="B6" s="16" t="str">
        <x:v>Test user and role tables behavior and outputs</x:v>
      </x:c>
      <x:c r="C6" s="16" t="str">
        <x:v>Given the PAULUS Test user and role tables behavior and outputs task is implemented, the feature should meet the approved capstone requirements and pass review against its expected behavior.</x:v>
      </x:c>
      <x:c r="D6" s="18" t="n">
        <x:v>0.0013333333333333333</x:v>
      </x:c>
      <x:c r="E6" s="16" t="str">
        <x:v>standardized subtask - URL pending</x:v>
      </x:c>
      <x:c r="F6" s="17" t="b">
        <x:v>0</x:v>
      </x:c>
    </x:row>
    <x:row r="7">
      <x:c r="A7" s="16" t="str">
        <x:v>FIX-01</x:v>
      </x:c>
      <x:c r="B7" s="16" t="str">
        <x:v>Resolve user and role tables issues</x:v>
      </x:c>
      <x:c r="C7" s="16" t="str">
        <x:v>Given the PAULUS Resolve user and role tables issues task is implemented, the feature should meet the approved capstone requirements and pass review against its expected behavior.</x:v>
      </x:c>
      <x:c r="D7" s="18" t="n">
        <x:v>0.0013333333333333333</x:v>
      </x:c>
      <x:c r="E7" s="16" t="str">
        <x:v>standardized subtask - URL pending</x:v>
      </x:c>
      <x:c r="F7" s="17" t="b">
        <x:v>0</x:v>
      </x:c>
    </x:row>
    <x:row r="8">
      <x:c r="A8" s="16" t="str">
        <x:v>MS-01</x:v>
      </x:c>
      <x:c r="B8" s="16" t="str">
        <x:v>Document user and role tables in Chapter 3</x:v>
      </x:c>
      <x:c r="C8" s="16" t="str">
        <x:v>Given the PAULUS Document user and role tables in Chapter 3 task is implemented, the feature should meet the approved capstone requirements and pass review against its expected behavior.</x:v>
      </x:c>
      <x:c r="D8" s="18" t="n">
        <x:v>0.0013333333333333333</x:v>
      </x:c>
      <x:c r="E8" s="16" t="str">
        <x:v>standardized subtask - URL pending</x:v>
      </x:c>
      <x:c r="F8" s="17" t="b">
        <x:v>0</x:v>
      </x:c>
    </x:row>
    <x:row r="9">
      <x:c r="A9" s="26" t="str">
        <x:v>Total Accomplished</x:v>
      </x:c>
      <x:c r="B9" s="26" t="str"/>
      <x:c r="C9" s="26" t="str"/>
      <x:c r="D9" s="27" t="n">
        <x:f>SUM(D3:D8)</x:f>
        <x:v>0.008</x:v>
      </x:c>
      <x:c r="E9" s="27" t="str"/>
      <x:c r="F9" s="27" t="n">
        <x:f>SUMIF(F3:F8, TRUE, D3:D8)</x:f>
        <x:v>0</x:v>
      </x:c>
    </x:row>
    <x:row r="11">
      <x:c r="A11" s="4" t="str">
        <x:v>Task ID</x:v>
      </x:c>
      <x:c r="B11" s="4" t="str">
        <x:v>INSTDB</x:v>
      </x:c>
      <x:c r="C11" s="4" t="str">
        <x:v>Task Name</x:v>
      </x:c>
      <x:c r="D11" s="4" t="str">
        <x:v>Institution Tables</x:v>
      </x:c>
      <x:c r="E11" s="4" t="str">
        <x:v>ClickUp Status</x:v>
      </x:c>
      <x:c r="F11" s="4" t="str">
        <x:v>in progress</x:v>
      </x:c>
    </x:row>
    <x:row r="12">
      <x:c r="A12" s="8" t="str">
        <x:v>Subtask ID</x:v>
      </x:c>
      <x:c r="B12" s="8" t="str">
        <x:v>Subtask / Task Name</x:v>
      </x:c>
      <x:c r="C12" s="8" t="str">
        <x:v>Acceptance Criteria</x:v>
      </x:c>
      <x:c r="D12" s="8" t="str">
        <x:v>Weight Allocation</x:v>
      </x:c>
      <x:c r="E12" s="8" t="str">
        <x:v>ClickUp Status</x:v>
      </x:c>
      <x:c r="F12" s="8" t="str">
        <x:v>Accepted</x:v>
      </x:c>
    </x:row>
    <x:row r="13">
      <x:c r="A13" s="16" t="str">
        <x:v>REQ-01</x:v>
      </x:c>
      <x:c r="B13" s="16" t="str">
        <x:v>Define institution tables requirements</x:v>
      </x:c>
      <x:c r="C13" s="16" t="str">
        <x:v>Given the PAULUS Define institution tables requirements task is implemented, the feature should meet the approved capstone requirements and pass review against its expected behavior.</x:v>
      </x:c>
      <x:c r="D13" s="18" t="n">
        <x:v>0.0013333333333333333</x:v>
      </x:c>
      <x:c r="E13" s="16" t="str">
        <x:v>standardized subtask - URL pending</x:v>
      </x:c>
      <x:c r="F13" s="17" t="b">
        <x:v>0</x:v>
      </x:c>
    </x:row>
    <x:row r="14">
      <x:c r="A14" s="16" t="str">
        <x:v>DES-01</x:v>
      </x:c>
      <x:c r="B14" s="16" t="str">
        <x:v>Design institution tables structure and workflow</x:v>
      </x:c>
      <x:c r="C14" s="16" t="str">
        <x:v>Given the PAULUS Design institution tables structure and workflow task is implemented, the feature should meet the approved capstone requirements and pass review against its expected behavior.</x:v>
      </x:c>
      <x:c r="D14" s="18" t="n">
        <x:v>0.0013333333333333333</x:v>
      </x:c>
      <x:c r="E14" s="16" t="str">
        <x:v>standardized subtask - URL pending</x:v>
      </x:c>
      <x:c r="F14" s="17" t="b">
        <x:v>0</x:v>
      </x:c>
    </x:row>
    <x:row r="15">
      <x:c r="A15" s="16" t="str">
        <x:v>DEV-01</x:v>
      </x:c>
      <x:c r="B15" s="16" t="str">
        <x:v>Implement institution tables baseline functionality</x:v>
      </x:c>
      <x:c r="C15" s="16" t="str">
        <x:v>Given the PAULUS Implement institution tables baseline functionality task is implemented, the feature should meet the approved capstone requirements and pass review against its expected behavior.</x:v>
      </x:c>
      <x:c r="D15" s="18" t="n">
        <x:v>0.0013333333333333333</x:v>
      </x:c>
      <x:c r="E15" s="16" t="str">
        <x:v>standardized subtask - URL pending</x:v>
      </x:c>
      <x:c r="F15" s="17" t="b">
        <x:v>0</x:v>
      </x:c>
    </x:row>
    <x:row r="16">
      <x:c r="A16" s="16" t="str">
        <x:v>TEST-01</x:v>
      </x:c>
      <x:c r="B16" s="16" t="str">
        <x:v>Test institution tables behavior and outputs</x:v>
      </x:c>
      <x:c r="C16" s="16" t="str">
        <x:v>Given the PAULUS Test institution tables behavior and outputs task is implemented, the feature should meet the approved capstone requirements and pass review against its expected behavior.</x:v>
      </x:c>
      <x:c r="D16" s="18" t="n">
        <x:v>0.0013333333333333333</x:v>
      </x:c>
      <x:c r="E16" s="16" t="str">
        <x:v>standardized subtask - URL pending</x:v>
      </x:c>
      <x:c r="F16" s="17" t="b">
        <x:v>0</x:v>
      </x:c>
    </x:row>
    <x:row r="17">
      <x:c r="A17" s="16" t="str">
        <x:v>FIX-01</x:v>
      </x:c>
      <x:c r="B17" s="16" t="str">
        <x:v>Resolve institution tables issues</x:v>
      </x:c>
      <x:c r="C17" s="16" t="str">
        <x:v>Given the PAULUS Resolve institution tables issues task is implemented, the feature should meet the approved capstone requirements and pass review against its expected behavior.</x:v>
      </x:c>
      <x:c r="D17" s="18" t="n">
        <x:v>0.0013333333333333333</x:v>
      </x:c>
      <x:c r="E17" s="16" t="str">
        <x:v>standardized subtask - URL pending</x:v>
      </x:c>
      <x:c r="F17" s="17" t="b">
        <x:v>0</x:v>
      </x:c>
    </x:row>
    <x:row r="18">
      <x:c r="A18" s="16" t="str">
        <x:v>MS-01</x:v>
      </x:c>
      <x:c r="B18" s="16" t="str">
        <x:v>Document institution tables in Chapter 3</x:v>
      </x:c>
      <x:c r="C18" s="16" t="str">
        <x:v>Given the PAULUS Document institution tables in Chapter 3 task is implemented, the feature should meet the approved capstone requirements and pass review against its expected behavior.</x:v>
      </x:c>
      <x:c r="D18" s="18" t="n">
        <x:v>0.0013333333333333333</x:v>
      </x:c>
      <x:c r="E18" s="16" t="str">
        <x:v>standardized subtask - URL pending</x:v>
      </x:c>
      <x:c r="F18" s="17" t="b">
        <x:v>0</x:v>
      </x:c>
    </x:row>
    <x:row r="19">
      <x:c r="A19" s="26" t="str">
        <x:v>Total Accomplished</x:v>
      </x:c>
      <x:c r="B19" s="26" t="str"/>
      <x:c r="C19" s="26" t="str"/>
      <x:c r="D19" s="27" t="n">
        <x:f>SUM(D13:D18)</x:f>
        <x:v>0.008</x:v>
      </x:c>
      <x:c r="E19" s="27" t="str"/>
      <x:c r="F19" s="27" t="n">
        <x:f>SUMIF(F13:F18, TRUE, D13:D18)</x:f>
        <x:v>0</x:v>
      </x:c>
    </x:row>
    <x:row r="21">
      <x:c r="A21" s="4" t="str">
        <x:v>Task ID</x:v>
      </x:c>
      <x:c r="B21" s="4" t="str">
        <x:v>IAFRDB</x:v>
      </x:c>
      <x:c r="C21" s="4" t="str">
        <x:v>Task Name</x:v>
      </x:c>
      <x:c r="D21" s="4" t="str">
        <x:v>IAFR Data Tables</x:v>
      </x:c>
      <x:c r="E21" s="4" t="str">
        <x:v>ClickUp Status</x:v>
      </x:c>
      <x:c r="F21" s="4" t="str">
        <x:v>in progress</x:v>
      </x:c>
    </x:row>
    <x:row r="22">
      <x:c r="A22" s="8" t="str">
        <x:v>Subtask ID</x:v>
      </x:c>
      <x:c r="B22" s="8" t="str">
        <x:v>Subtask / Task Name</x:v>
      </x:c>
      <x:c r="C22" s="8" t="str">
        <x:v>Acceptance Criteria</x:v>
      </x:c>
      <x:c r="D22" s="8" t="str">
        <x:v>Weight Allocation</x:v>
      </x:c>
      <x:c r="E22" s="8" t="str">
        <x:v>ClickUp Status</x:v>
      </x:c>
      <x:c r="F22" s="8" t="str">
        <x:v>Accepted</x:v>
      </x:c>
    </x:row>
    <x:row r="23">
      <x:c r="A23" s="16" t="str">
        <x:v>REQ-01</x:v>
      </x:c>
      <x:c r="B23" s="16" t="str">
        <x:v>Define IAFR database field requirements</x:v>
      </x:c>
      <x:c r="C23" s="16" t="str">
        <x:v>Given the PAULUS Define IAFR database field requirements task is implemented, the feature should meet the approved capstone requirements and pass review against its expected behavior.</x:v>
      </x:c>
      <x:c r="D23" s="18" t="n">
        <x:v>0.001</x:v>
      </x:c>
      <x:c r="E23" s="16" t="str">
        <x:v>planning/backlog</x:v>
      </x:c>
      <x:c r="F23" s="17" t="b">
        <x:v>0</x:v>
      </x:c>
    </x:row>
    <x:row r="24">
      <x:c r="A24" s="16" t="str">
        <x:v>DES-01</x:v>
      </x:c>
      <x:c r="B24" s="16" t="str">
        <x:v>Design IAFR table structure</x:v>
      </x:c>
      <x:c r="C24" s="16" t="str">
        <x:v>Given the PAULUS Design IAFR table structure task is implemented, the feature should meet the approved capstone requirements and pass review against its expected behavior.</x:v>
      </x:c>
      <x:c r="D24" s="18" t="n">
        <x:v>0.001</x:v>
      </x:c>
      <x:c r="E24" s="16" t="str">
        <x:v>planning/backlog</x:v>
      </x:c>
      <x:c r="F24" s="17" t="b">
        <x:v>0</x:v>
      </x:c>
    </x:row>
    <x:row r="25">
      <x:c r="A25" s="16" t="str">
        <x:v>DEV-01</x:v>
      </x:c>
      <x:c r="B25" s="16" t="str">
        <x:v>Create IAFR tables</x:v>
      </x:c>
      <x:c r="C25" s="16" t="str">
        <x:v>Given the PAULUS Create IAFR tables task is implemented, the feature should meet the approved capstone requirements and pass review against its expected behavior.</x:v>
      </x:c>
      <x:c r="D25" s="18" t="n">
        <x:v>0.001</x:v>
      </x:c>
      <x:c r="E25" s="16" t="str">
        <x:v>planning/backlog</x:v>
      </x:c>
      <x:c r="F25" s="17" t="b">
        <x:v>0</x:v>
      </x:c>
    </x:row>
    <x:row r="26">
      <x:c r="A26" s="16" t="str">
        <x:v>DEV-02</x:v>
      </x:c>
      <x:c r="B26" s="16" t="str">
        <x:v>Configure IAFR validation constraints</x:v>
      </x:c>
      <x:c r="C26" s="16" t="str">
        <x:v>Given the PAULUS Configure IAFR validation constraints task is implemented, the feature should meet the approved capstone requirements and pass review against its expected behavior.</x:v>
      </x:c>
      <x:c r="D26" s="18" t="n">
        <x:v>0.001</x:v>
      </x:c>
      <x:c r="E26" s="16" t="str">
        <x:v>planning/backlog</x:v>
      </x:c>
      <x:c r="F26" s="17" t="b">
        <x:v>0</x:v>
      </x:c>
    </x:row>
    <x:row r="27">
      <x:c r="A27" s="16" t="str">
        <x:v>DEV-03</x:v>
      </x:c>
      <x:c r="B27" s="16" t="str">
        <x:v>Configure IAFR relationships with institution tables</x:v>
      </x:c>
      <x:c r="C27" s="16" t="str">
        <x:v>Given the PAULUS Configure IAFR relationships with institution tables task is implemented, the feature should meet the approved capstone requirements and pass review against its expected behavior.</x:v>
      </x:c>
      <x:c r="D27" s="18" t="n">
        <x:v>0.001</x:v>
      </x:c>
      <x:c r="E27" s="16" t="str">
        <x:v>planning/backlog</x:v>
      </x:c>
      <x:c r="F27" s="17" t="b">
        <x:v>0</x:v>
      </x:c>
    </x:row>
    <x:row r="28">
      <x:c r="A28" s="16" t="str">
        <x:v>TEST-01</x:v>
      </x:c>
      <x:c r="B28" s="16" t="str">
        <x:v>Test IAFR data storage and retrieval</x:v>
      </x:c>
      <x:c r="C28" s="16" t="str">
        <x:v>Given the PAULUS Test IAFR data storage and retrieval task is implemented, the feature should meet the approved capstone requirements and pass review against its expected behavior.</x:v>
      </x:c>
      <x:c r="D28" s="18" t="n">
        <x:v>0.001</x:v>
      </x:c>
      <x:c r="E28" s="16" t="str">
        <x:v>planning/backlog</x:v>
      </x:c>
      <x:c r="F28" s="17" t="b">
        <x:v>0</x:v>
      </x:c>
    </x:row>
    <x:row r="29">
      <x:c r="A29" s="16" t="str">
        <x:v>FIX-01</x:v>
      </x:c>
      <x:c r="B29" s="16" t="str">
        <x:v>Resolve IAFR database errors</x:v>
      </x:c>
      <x:c r="C29" s="16" t="str">
        <x:v>Given the PAULUS Resolve IAFR database errors task is implemented, the feature should meet the approved capstone requirements and pass review against its expected behavior.</x:v>
      </x:c>
      <x:c r="D29" s="18" t="n">
        <x:v>0.001</x:v>
      </x:c>
      <x:c r="E29" s="16" t="str">
        <x:v>planning/backlog</x:v>
      </x:c>
      <x:c r="F29" s="17" t="b">
        <x:v>0</x:v>
      </x:c>
    </x:row>
    <x:row r="30">
      <x:c r="A30" s="16" t="str">
        <x:v>MS-01</x:v>
      </x:c>
      <x:c r="B30" s="16" t="str">
        <x:v>Document IAFR database structure</x:v>
      </x:c>
      <x:c r="C30" s="16" t="str">
        <x:v>Given the PAULUS Document IAFR database structure task is implemented, the feature should meet the approved capstone requirements and pass review against its expected behavior.</x:v>
      </x:c>
      <x:c r="D30" s="18" t="n">
        <x:v>0.001</x:v>
      </x:c>
      <x:c r="E30" s="16" t="str">
        <x:v>planning/backlog</x:v>
      </x:c>
      <x:c r="F30" s="17" t="b">
        <x:v>0</x:v>
      </x:c>
    </x:row>
    <x:row r="31">
      <x:c r="A31" s="26" t="str">
        <x:v>Total Accomplished</x:v>
      </x:c>
      <x:c r="B31" s="26" t="str"/>
      <x:c r="C31" s="26" t="str"/>
      <x:c r="D31" s="27" t="n">
        <x:f>SUM(D23:D30)</x:f>
        <x:v>0.008</x:v>
      </x:c>
      <x:c r="E31" s="27" t="str"/>
      <x:c r="F31" s="27" t="n">
        <x:f>SUMIF(F23:F30, TRUE, D23:D30)</x:f>
        <x:v>0</x:v>
      </x:c>
    </x:row>
    <x:row r="33">
      <x:c r="A33" s="4" t="str">
        <x:v>Task ID</x:v>
      </x:c>
      <x:c r="B33" s="4" t="str">
        <x:v>FSDB</x:v>
      </x:c>
      <x:c r="C33" s="4" t="str">
        <x:v>Task Name</x:v>
      </x:c>
      <x:c r="D33" s="4" t="str">
        <x:v>Financial Statement Tables</x:v>
      </x:c>
      <x:c r="E33" s="4" t="str">
        <x:v>ClickUp Status</x:v>
      </x:c>
      <x:c r="F33" s="4" t="str">
        <x:v>in progress</x:v>
      </x:c>
    </x:row>
    <x:row r="34">
      <x:c r="A34" s="8" t="str">
        <x:v>Subtask ID</x:v>
      </x:c>
      <x:c r="B34" s="8" t="str">
        <x:v>Subtask / Task Name</x:v>
      </x:c>
      <x:c r="C34" s="8" t="str">
        <x:v>Acceptance Criteria</x:v>
      </x:c>
      <x:c r="D34" s="8" t="str">
        <x:v>Weight Allocation</x:v>
      </x:c>
      <x:c r="E34" s="8" t="str">
        <x:v>ClickUp Status</x:v>
      </x:c>
      <x:c r="F34" s="8" t="str">
        <x:v>Accepted</x:v>
      </x:c>
    </x:row>
    <x:row r="35">
      <x:c r="A35" s="16" t="str">
        <x:v>REQ-01</x:v>
      </x:c>
      <x:c r="B35" s="16" t="str">
        <x:v>Define financial statement tables requirements</x:v>
      </x:c>
      <x:c r="C35" s="16" t="str">
        <x:v>Given the PAULUS Define financial statement tables requirements task is implemented, the feature should meet the approved capstone requirements and pass review against its expected behavior.</x:v>
      </x:c>
      <x:c r="D35" s="18" t="n">
        <x:v>0.0013333333333333333</x:v>
      </x:c>
      <x:c r="E35" s="16" t="str">
        <x:v>standardized subtask - URL pending</x:v>
      </x:c>
      <x:c r="F35" s="17" t="b">
        <x:v>0</x:v>
      </x:c>
    </x:row>
    <x:row r="36">
      <x:c r="A36" s="16" t="str">
        <x:v>DES-01</x:v>
      </x:c>
      <x:c r="B36" s="16" t="str">
        <x:v>Design financial statement tables structure and workflow</x:v>
      </x:c>
      <x:c r="C36" s="16" t="str">
        <x:v>Given the PAULUS Design financial statement tables structure and workflow task is implemented, the feature should meet the approved capstone requirements and pass review against its expected behavior.</x:v>
      </x:c>
      <x:c r="D36" s="18" t="n">
        <x:v>0.0013333333333333333</x:v>
      </x:c>
      <x:c r="E36" s="16" t="str">
        <x:v>standardized subtask - URL pending</x:v>
      </x:c>
      <x:c r="F36" s="17" t="b">
        <x:v>0</x:v>
      </x:c>
    </x:row>
    <x:row r="37">
      <x:c r="A37" s="16" t="str">
        <x:v>DEV-01</x:v>
      </x:c>
      <x:c r="B37" s="16" t="str">
        <x:v>Implement financial statement tables baseline functionality</x:v>
      </x:c>
      <x:c r="C37" s="16" t="str">
        <x:v>Given the PAULUS Implement financial statement tables baseline functionality task is implemented, the feature should meet the approved capstone requirements and pass review against its expected behavior.</x:v>
      </x:c>
      <x:c r="D37" s="18" t="n">
        <x:v>0.0013333333333333333</x:v>
      </x:c>
      <x:c r="E37" s="16" t="str">
        <x:v>standardized subtask - URL pending</x:v>
      </x:c>
      <x:c r="F37" s="17" t="b">
        <x:v>0</x:v>
      </x:c>
    </x:row>
    <x:row r="38">
      <x:c r="A38" s="16" t="str">
        <x:v>TEST-01</x:v>
      </x:c>
      <x:c r="B38" s="16" t="str">
        <x:v>Test financial statement tables behavior and outputs</x:v>
      </x:c>
      <x:c r="C38" s="16" t="str">
        <x:v>Given the PAULUS Test financial statement tables behavior and outputs task is implemented, the feature should meet the approved capstone requirements and pass review against its expected behavior.</x:v>
      </x:c>
      <x:c r="D38" s="18" t="n">
        <x:v>0.0013333333333333333</x:v>
      </x:c>
      <x:c r="E38" s="16" t="str">
        <x:v>standardized subtask - URL pending</x:v>
      </x:c>
      <x:c r="F38" s="17" t="b">
        <x:v>0</x:v>
      </x:c>
    </x:row>
    <x:row r="39">
      <x:c r="A39" s="16" t="str">
        <x:v>FIX-01</x:v>
      </x:c>
      <x:c r="B39" s="16" t="str">
        <x:v>Resolve financial statement tables issues</x:v>
      </x:c>
      <x:c r="C39" s="16" t="str">
        <x:v>Given the PAULUS Resolve financial statement tables issues task is implemented, the feature should meet the approved capstone requirements and pass review against its expected behavior.</x:v>
      </x:c>
      <x:c r="D39" s="18" t="n">
        <x:v>0.0013333333333333333</x:v>
      </x:c>
      <x:c r="E39" s="16" t="str">
        <x:v>standardized subtask - URL pending</x:v>
      </x:c>
      <x:c r="F39" s="17" t="b">
        <x:v>0</x:v>
      </x:c>
    </x:row>
    <x:row r="40">
      <x:c r="A40" s="16" t="str">
        <x:v>MS-01</x:v>
      </x:c>
      <x:c r="B40" s="16" t="str">
        <x:v>Document financial statement tables in Chapter 3</x:v>
      </x:c>
      <x:c r="C40" s="16" t="str">
        <x:v>Given the PAULUS Document financial statement tables in Chapter 3 task is implemented, the feature should meet the approved capstone requirements and pass review against its expected behavior.</x:v>
      </x:c>
      <x:c r="D40" s="18" t="n">
        <x:v>0.0013333333333333333</x:v>
      </x:c>
      <x:c r="E40" s="16" t="str">
        <x:v>standardized subtask - URL pending</x:v>
      </x:c>
      <x:c r="F40" s="17" t="b">
        <x:v>0</x:v>
      </x:c>
    </x:row>
    <x:row r="41">
      <x:c r="A41" s="26" t="str">
        <x:v>Total Accomplished</x:v>
      </x:c>
      <x:c r="B41" s="26" t="str"/>
      <x:c r="C41" s="26" t="str"/>
      <x:c r="D41" s="27" t="n">
        <x:f>SUM(D35:D40)</x:f>
        <x:v>0.008</x:v>
      </x:c>
      <x:c r="E41" s="27" t="str"/>
      <x:c r="F41" s="27" t="n">
        <x:f>SUMIF(F35:F40, TRUE, D35:D40)</x:f>
        <x:v>0</x:v>
      </x:c>
    </x:row>
    <x:row r="43">
      <x:c r="A43" s="4" t="str">
        <x:v>Task ID</x:v>
      </x:c>
      <x:c r="B43" s="4" t="str">
        <x:v>PROJDB</x:v>
      </x:c>
      <x:c r="C43" s="4" t="str">
        <x:v>Task Name</x:v>
      </x:c>
      <x:c r="D43" s="4" t="str">
        <x:v>Projects and Donations Tables</x:v>
      </x:c>
      <x:c r="E43" s="4" t="str">
        <x:v>ClickUp Status</x:v>
      </x:c>
      <x:c r="F43" s="4" t="str">
        <x:v>in progress</x:v>
      </x:c>
    </x:row>
    <x:row r="44">
      <x:c r="A44" s="8" t="str">
        <x:v>Subtask ID</x:v>
      </x:c>
      <x:c r="B44" s="8" t="str">
        <x:v>Subtask / Task Name</x:v>
      </x:c>
      <x:c r="C44" s="8" t="str">
        <x:v>Acceptance Criteria</x:v>
      </x:c>
      <x:c r="D44" s="8" t="str">
        <x:v>Weight Allocation</x:v>
      </x:c>
      <x:c r="E44" s="8" t="str">
        <x:v>ClickUp Status</x:v>
      </x:c>
      <x:c r="F44" s="8" t="str">
        <x:v>Accepted</x:v>
      </x:c>
    </x:row>
    <x:row r="45">
      <x:c r="A45" s="16" t="str">
        <x:v>REQ-01</x:v>
      </x:c>
      <x:c r="B45" s="16" t="str">
        <x:v>Define projects and donations tables requirements</x:v>
      </x:c>
      <x:c r="C45" s="16" t="str">
        <x:v>Given the PAULUS Define projects and donations tables requirements task is implemented, the feature should meet the approved capstone requirements and pass review against its expected behavior.</x:v>
      </x:c>
      <x:c r="D45" s="18" t="n">
        <x:v>0.0013333333333333333</x:v>
      </x:c>
      <x:c r="E45" s="16" t="str">
        <x:v>standardized subtask - URL pending</x:v>
      </x:c>
      <x:c r="F45" s="17" t="b">
        <x:v>0</x:v>
      </x:c>
    </x:row>
    <x:row r="46">
      <x:c r="A46" s="16" t="str">
        <x:v>DES-01</x:v>
      </x:c>
      <x:c r="B46" s="16" t="str">
        <x:v>Design projects and donations tables structure and workflow</x:v>
      </x:c>
      <x:c r="C46" s="16" t="str">
        <x:v>Given the PAULUS Design projects and donations tables structure and workflow task is implemented, the feature should meet the approved capstone requirements and pass review against its expected behavior.</x:v>
      </x:c>
      <x:c r="D46" s="18" t="n">
        <x:v>0.0013333333333333333</x:v>
      </x:c>
      <x:c r="E46" s="16" t="str">
        <x:v>standardized subtask - URL pending</x:v>
      </x:c>
      <x:c r="F46" s="17" t="b">
        <x:v>0</x:v>
      </x:c>
    </x:row>
    <x:row r="47">
      <x:c r="A47" s="16" t="str">
        <x:v>DEV-01</x:v>
      </x:c>
      <x:c r="B47" s="16" t="str">
        <x:v>Implement projects and donations tables baseline functionality</x:v>
      </x:c>
      <x:c r="C47" s="16" t="str">
        <x:v>Given the PAULUS Implement projects and donations tables baseline functionality task is implemented, the feature should meet the approved capstone requirements and pass review against its expected behavior.</x:v>
      </x:c>
      <x:c r="D47" s="18" t="n">
        <x:v>0.0013333333333333333</x:v>
      </x:c>
      <x:c r="E47" s="16" t="str">
        <x:v>standardized subtask - URL pending</x:v>
      </x:c>
      <x:c r="F47" s="17" t="b">
        <x:v>0</x:v>
      </x:c>
    </x:row>
    <x:row r="48">
      <x:c r="A48" s="16" t="str">
        <x:v>TEST-01</x:v>
      </x:c>
      <x:c r="B48" s="16" t="str">
        <x:v>Test projects and donations tables behavior and outputs</x:v>
      </x:c>
      <x:c r="C48" s="16" t="str">
        <x:v>Given the PAULUS Test projects and donations tables behavior and outputs task is implemented, the feature should meet the approved capstone requirements and pass review against its expected behavior.</x:v>
      </x:c>
      <x:c r="D48" s="18" t="n">
        <x:v>0.0013333333333333333</x:v>
      </x:c>
      <x:c r="E48" s="16" t="str">
        <x:v>standardized subtask - URL pending</x:v>
      </x:c>
      <x:c r="F48" s="17" t="b">
        <x:v>0</x:v>
      </x:c>
    </x:row>
    <x:row r="49">
      <x:c r="A49" s="16" t="str">
        <x:v>FIX-01</x:v>
      </x:c>
      <x:c r="B49" s="16" t="str">
        <x:v>Resolve projects and donations tables issues</x:v>
      </x:c>
      <x:c r="C49" s="16" t="str">
        <x:v>Given the PAULUS Resolve projects and donations tables issues task is implemented, the feature should meet the approved capstone requirements and pass review against its expected behavior.</x:v>
      </x:c>
      <x:c r="D49" s="18" t="n">
        <x:v>0.0013333333333333333</x:v>
      </x:c>
      <x:c r="E49" s="16" t="str">
        <x:v>standardized subtask - URL pending</x:v>
      </x:c>
      <x:c r="F49" s="17" t="b">
        <x:v>0</x:v>
      </x:c>
    </x:row>
    <x:row r="50">
      <x:c r="A50" s="16" t="str">
        <x:v>MS-01</x:v>
      </x:c>
      <x:c r="B50" s="16" t="str">
        <x:v>Document projects and donations tables in Chapter 3</x:v>
      </x:c>
      <x:c r="C50" s="16" t="str">
        <x:v>Given the PAULUS Document projects and donations tables in Chapter 3 task is implemented, the feature should meet the approved capstone requirements and pass review against its expected behavior.</x:v>
      </x:c>
      <x:c r="D50" s="18" t="n">
        <x:v>0.0013333333333333333</x:v>
      </x:c>
      <x:c r="E50" s="16" t="str">
        <x:v>standardized subtask - URL pending</x:v>
      </x:c>
      <x:c r="F50" s="17" t="b">
        <x:v>0</x:v>
      </x:c>
    </x:row>
    <x:row r="51">
      <x:c r="A51" s="26" t="str">
        <x:v>Total Accomplished</x:v>
      </x:c>
      <x:c r="B51" s="26" t="str"/>
      <x:c r="C51" s="26" t="str"/>
      <x:c r="D51" s="27" t="n">
        <x:f>SUM(D45:D50)</x:f>
        <x:v>0.008</x:v>
      </x:c>
      <x:c r="E51" s="27" t="str"/>
      <x:c r="F51" s="27" t="n">
        <x:f>SUMIF(F45:F50, TRUE, D45:D50)</x:f>
        <x:v>0</x:v>
      </x:c>
    </x:row>
    <x:row r="53">
      <x:c r="A53" s="4" t="str">
        <x:v>Task ID</x:v>
      </x:c>
      <x:c r="B53" s="4" t="str">
        <x:v>PRSTDB</x:v>
      </x:c>
      <x:c r="C53" s="4" t="str">
        <x:v>Task Name</x:v>
      </x:c>
      <x:c r="D53" s="4" t="str">
        <x:v>Priest Health Records Table</x:v>
      </x:c>
      <x:c r="E53" s="4" t="str">
        <x:v>ClickUp Status</x:v>
      </x:c>
      <x:c r="F53" s="4" t="str">
        <x:v>in progress</x:v>
      </x:c>
    </x:row>
    <x:row r="54">
      <x:c r="A54" s="8" t="str">
        <x:v>Subtask ID</x:v>
      </x:c>
      <x:c r="B54" s="8" t="str">
        <x:v>Subtask / Task Name</x:v>
      </x:c>
      <x:c r="C54" s="8" t="str">
        <x:v>Acceptance Criteria</x:v>
      </x:c>
      <x:c r="D54" s="8" t="str">
        <x:v>Weight Allocation</x:v>
      </x:c>
      <x:c r="E54" s="8" t="str">
        <x:v>ClickUp Status</x:v>
      </x:c>
      <x:c r="F54" s="8" t="str">
        <x:v>Accepted</x:v>
      </x:c>
    </x:row>
    <x:row r="55">
      <x:c r="A55" s="16" t="str">
        <x:v>REQ-01</x:v>
      </x:c>
      <x:c r="B55" s="16" t="str">
        <x:v>Define priest health database requirements</x:v>
      </x:c>
      <x:c r="C55" s="16" t="str">
        <x:v>Given the PAULUS Define priest health database requirements task is implemented, the feature should meet the approved capstone requirements and pass review against its expected behavior.</x:v>
      </x:c>
      <x:c r="D55" s="18" t="n">
        <x:v>0.001142857142857143</x:v>
      </x:c>
      <x:c r="E55" s="16" t="str">
        <x:v>planning/backlog</x:v>
      </x:c>
      <x:c r="F55" s="17" t="b">
        <x:v>0</x:v>
      </x:c>
    </x:row>
    <x:row r="56">
      <x:c r="A56" s="16" t="str">
        <x:v>DES-01</x:v>
      </x:c>
      <x:c r="B56" s="16" t="str">
        <x:v>Design priest health records table</x:v>
      </x:c>
      <x:c r="C56" s="16" t="str">
        <x:v>Given the PAULUS Design priest health records table task is implemented, the feature should meet the approved capstone requirements and pass review against its expected behavior.</x:v>
      </x:c>
      <x:c r="D56" s="18" t="n">
        <x:v>0.001142857142857143</x:v>
      </x:c>
      <x:c r="E56" s="16" t="str">
        <x:v>planning/backlog</x:v>
      </x:c>
      <x:c r="F56" s="17" t="b">
        <x:v>0</x:v>
      </x:c>
    </x:row>
    <x:row r="57">
      <x:c r="A57" s="16" t="str">
        <x:v>DEV-01</x:v>
      </x:c>
      <x:c r="B57" s="16" t="str">
        <x:v>Create priest health records table</x:v>
      </x:c>
      <x:c r="C57" s="16" t="str">
        <x:v>Given the PAULUS Create priest health records table task is implemented, the feature should meet the approved capstone requirements and pass review against its expected behavior.</x:v>
      </x:c>
      <x:c r="D57" s="18" t="n">
        <x:v>0.001142857142857143</x:v>
      </x:c>
      <x:c r="E57" s="16" t="str">
        <x:v>planning/backlog</x:v>
      </x:c>
      <x:c r="F57" s="17" t="b">
        <x:v>0</x:v>
      </x:c>
    </x:row>
    <x:row r="58">
      <x:c r="A58" s="16" t="str">
        <x:v>DEV-02</x:v>
      </x:c>
      <x:c r="B58" s="16" t="str">
        <x:v>Configure priest health table constraints</x:v>
      </x:c>
      <x:c r="C58" s="16" t="str">
        <x:v>Given the PAULUS Configure priest health table constraints task is implemented, the feature should meet the approved capstone requirements and pass review against its expected behavior.</x:v>
      </x:c>
      <x:c r="D58" s="18" t="n">
        <x:v>0.001142857142857143</x:v>
      </x:c>
      <x:c r="E58" s="16" t="str">
        <x:v>planning/backlog</x:v>
      </x:c>
      <x:c r="F58" s="17" t="b">
        <x:v>0</x:v>
      </x:c>
    </x:row>
    <x:row r="59">
      <x:c r="A59" s="16" t="str">
        <x:v>TEST-01</x:v>
      </x:c>
      <x:c r="B59" s="16" t="str">
        <x:v>Test priest health data storage and retrieval</x:v>
      </x:c>
      <x:c r="C59" s="16" t="str">
        <x:v>Given the PAULUS Test priest health data storage and retrieval task is implemented, the feature should meet the approved capstone requirements and pass review against its expected behavior.</x:v>
      </x:c>
      <x:c r="D59" s="18" t="n">
        <x:v>0.001142857142857143</x:v>
      </x:c>
      <x:c r="E59" s="16" t="str">
        <x:v>planning/backlog</x:v>
      </x:c>
      <x:c r="F59" s="17" t="b">
        <x:v>0</x:v>
      </x:c>
    </x:row>
    <x:row r="60">
      <x:c r="A60" s="16" t="str">
        <x:v>FIX-01</x:v>
      </x:c>
      <x:c r="B60" s="16" t="str">
        <x:v>Resolve priest health database errors</x:v>
      </x:c>
      <x:c r="C60" s="16" t="str">
        <x:v>Given the PAULUS Resolve priest health database errors task is implemented, the feature should meet the approved capstone requirements and pass review against its expected behavior.</x:v>
      </x:c>
      <x:c r="D60" s="18" t="n">
        <x:v>0.001142857142857143</x:v>
      </x:c>
      <x:c r="E60" s="16" t="str">
        <x:v>planning/backlog</x:v>
      </x:c>
      <x:c r="F60" s="17" t="b">
        <x:v>0</x:v>
      </x:c>
    </x:row>
    <x:row r="61">
      <x:c r="A61" s="16" t="str">
        <x:v>MS-01</x:v>
      </x:c>
      <x:c r="B61" s="16" t="str">
        <x:v>Document priest health database structure</x:v>
      </x:c>
      <x:c r="C61" s="16" t="str">
        <x:v>Given the PAULUS Document priest health database structure task is implemented, the feature should meet the approved capstone requirements and pass review against its expected behavior.</x:v>
      </x:c>
      <x:c r="D61" s="18" t="n">
        <x:v>0.001142857142857143</x:v>
      </x:c>
      <x:c r="E61" s="16" t="str">
        <x:v>planning/backlog</x:v>
      </x:c>
      <x:c r="F61" s="17" t="b">
        <x:v>0</x:v>
      </x:c>
    </x:row>
    <x:row r="62">
      <x:c r="A62" s="26" t="str">
        <x:v>Total Accomplished</x:v>
      </x:c>
      <x:c r="B62" s="26" t="str"/>
      <x:c r="C62" s="26" t="str"/>
      <x:c r="D62" s="27" t="n">
        <x:f>SUM(D55:D61)</x:f>
        <x:v>0.008000000000000002</x:v>
      </x:c>
      <x:c r="E62" s="27" t="str"/>
      <x:c r="F62" s="27" t="n">
        <x:f>SUMIF(F55:F61, TRUE, D55:D61)</x:f>
        <x:v>0</x:v>
      </x:c>
    </x:row>
    <x:row r="64">
      <x:c r="A64" s="4" t="str">
        <x:v>Task ID</x:v>
      </x:c>
      <x:c r="B64" s="4" t="str">
        <x:v>ANALYTICSDB</x:v>
      </x:c>
      <x:c r="C64" s="4" t="str">
        <x:v>Task Name</x:v>
      </x:c>
      <x:c r="D64" s="4" t="str">
        <x:v>Analytics Output Tables</x:v>
      </x:c>
      <x:c r="E64" s="4" t="str">
        <x:v>ClickUp Status</x:v>
      </x:c>
      <x:c r="F64" s="4" t="str">
        <x:v>in progress</x:v>
      </x:c>
    </x:row>
    <x:row r="65">
      <x:c r="A65" s="8" t="str">
        <x:v>Subtask ID</x:v>
      </x:c>
      <x:c r="B65" s="8" t="str">
        <x:v>Subtask / Task Name</x:v>
      </x:c>
      <x:c r="C65" s="8" t="str">
        <x:v>Acceptance Criteria</x:v>
      </x:c>
      <x:c r="D65" s="8" t="str">
        <x:v>Weight Allocation</x:v>
      </x:c>
      <x:c r="E65" s="8" t="str">
        <x:v>ClickUp Status</x:v>
      </x:c>
      <x:c r="F65" s="8" t="str">
        <x:v>Accepted</x:v>
      </x:c>
    </x:row>
    <x:row r="66">
      <x:c r="A66" s="16" t="str">
        <x:v>REQ-01</x:v>
      </x:c>
      <x:c r="B66" s="16" t="str">
        <x:v>Define analytics output tables requirements</x:v>
      </x:c>
      <x:c r="C66" s="16" t="str">
        <x:v>Given the PAULUS Define analytics output tables requirements task is implemented, the feature should meet the approved capstone requirements and pass review against its expected behavior.</x:v>
      </x:c>
      <x:c r="D66" s="18" t="n">
        <x:v>0.0013333333333333333</x:v>
      </x:c>
      <x:c r="E66" s="16" t="str">
        <x:v>standardized subtask - URL pending</x:v>
      </x:c>
      <x:c r="F66" s="17" t="b">
        <x:v>0</x:v>
      </x:c>
    </x:row>
    <x:row r="67">
      <x:c r="A67" s="16" t="str">
        <x:v>DES-01</x:v>
      </x:c>
      <x:c r="B67" s="16" t="str">
        <x:v>Design analytics output tables structure and workflow</x:v>
      </x:c>
      <x:c r="C67" s="16" t="str">
        <x:v>Given the PAULUS Design analytics output tables structure and workflow task is implemented, the feature should meet the approved capstone requirements and pass review against its expected behavior.</x:v>
      </x:c>
      <x:c r="D67" s="18" t="n">
        <x:v>0.0013333333333333333</x:v>
      </x:c>
      <x:c r="E67" s="16" t="str">
        <x:v>standardized subtask - URL pending</x:v>
      </x:c>
      <x:c r="F67" s="17" t="b">
        <x:v>0</x:v>
      </x:c>
    </x:row>
    <x:row r="68">
      <x:c r="A68" s="16" t="str">
        <x:v>DEV-01</x:v>
      </x:c>
      <x:c r="B68" s="16" t="str">
        <x:v>Implement analytics output tables baseline functionality</x:v>
      </x:c>
      <x:c r="C68" s="16" t="str">
        <x:v>Given the PAULUS Implement analytics output tables baseline functionality task is implemented, the feature should meet the approved capstone requirements and pass review against its expected behavior.</x:v>
      </x:c>
      <x:c r="D68" s="18" t="n">
        <x:v>0.0013333333333333333</x:v>
      </x:c>
      <x:c r="E68" s="16" t="str">
        <x:v>standardized subtask - URL pending</x:v>
      </x:c>
      <x:c r="F68" s="17" t="b">
        <x:v>0</x:v>
      </x:c>
    </x:row>
    <x:row r="69">
      <x:c r="A69" s="16" t="str">
        <x:v>TEST-01</x:v>
      </x:c>
      <x:c r="B69" s="16" t="str">
        <x:v>Test analytics output tables behavior and outputs</x:v>
      </x:c>
      <x:c r="C69" s="16" t="str">
        <x:v>Given the PAULUS Test analytics output tables behavior and outputs task is implemented, the feature should meet the approved capstone requirements and pass review against its expected behavior.</x:v>
      </x:c>
      <x:c r="D69" s="18" t="n">
        <x:v>0.0013333333333333333</x:v>
      </x:c>
      <x:c r="E69" s="16" t="str">
        <x:v>standardized subtask - URL pending</x:v>
      </x:c>
      <x:c r="F69" s="17" t="b">
        <x:v>0</x:v>
      </x:c>
    </x:row>
    <x:row r="70">
      <x:c r="A70" s="16" t="str">
        <x:v>FIX-01</x:v>
      </x:c>
      <x:c r="B70" s="16" t="str">
        <x:v>Resolve analytics output tables issues</x:v>
      </x:c>
      <x:c r="C70" s="16" t="str">
        <x:v>Given the PAULUS Resolve analytics output tables issues task is implemented, the feature should meet the approved capstone requirements and pass review against its expected behavior.</x:v>
      </x:c>
      <x:c r="D70" s="18" t="n">
        <x:v>0.0013333333333333333</x:v>
      </x:c>
      <x:c r="E70" s="16" t="str">
        <x:v>standardized subtask - URL pending</x:v>
      </x:c>
      <x:c r="F70" s="17" t="b">
        <x:v>0</x:v>
      </x:c>
    </x:row>
    <x:row r="71">
      <x:c r="A71" s="16" t="str">
        <x:v>MS-01</x:v>
      </x:c>
      <x:c r="B71" s="16" t="str">
        <x:v>Document analytics output tables in Chapter 3</x:v>
      </x:c>
      <x:c r="C71" s="16" t="str">
        <x:v>Given the PAULUS Document analytics output tables in Chapter 3 task is implemented, the feature should meet the approved capstone requirements and pass review against its expected behavior.</x:v>
      </x:c>
      <x:c r="D71" s="18" t="n">
        <x:v>0.0013333333333333333</x:v>
      </x:c>
      <x:c r="E71" s="16" t="str">
        <x:v>standardized subtask - URL pending</x:v>
      </x:c>
      <x:c r="F71" s="17" t="b">
        <x:v>0</x:v>
      </x:c>
    </x:row>
    <x:row r="72">
      <x:c r="A72" s="26" t="str">
        <x:v>Total Accomplished</x:v>
      </x:c>
      <x:c r="B72" s="26" t="str"/>
      <x:c r="C72" s="26" t="str"/>
      <x:c r="D72" s="27" t="n">
        <x:f>SUM(D66:D71)</x:f>
        <x:v>0.008</x:v>
      </x:c>
      <x:c r="E72" s="27" t="str"/>
      <x:c r="F72" s="27" t="n">
        <x:f>SUMIF(F66:F71, TRUE, D66:D71)</x:f>
        <x:v>0</x:v>
      </x:c>
    </x:row>
    <x:row r="74">
      <x:c r="A74" s="4" t="str">
        <x:v>Task ID</x:v>
      </x:c>
      <x:c r="B74" s="4" t="str">
        <x:v>SANDBOX</x:v>
      </x:c>
      <x:c r="C74" s="4" t="str">
        <x:v>Task Name</x:v>
      </x:c>
      <x:c r="D74" s="4" t="str">
        <x:v>Sandbox and Model Testing Schema</x:v>
      </x:c>
      <x:c r="E74" s="4" t="str">
        <x:v>ClickUp Status</x:v>
      </x:c>
      <x:c r="F74" s="4" t="str">
        <x:v>in progress</x:v>
      </x:c>
    </x:row>
    <x:row r="75">
      <x:c r="A75" s="8" t="str">
        <x:v>Subtask ID</x:v>
      </x:c>
      <x:c r="B75" s="8" t="str">
        <x:v>Subtask / Task Name</x:v>
      </x:c>
      <x:c r="C75" s="8" t="str">
        <x:v>Acceptance Criteria</x:v>
      </x:c>
      <x:c r="D75" s="8" t="str">
        <x:v>Weight Allocation</x:v>
      </x:c>
      <x:c r="E75" s="8" t="str">
        <x:v>ClickUp Status</x:v>
      </x:c>
      <x:c r="F75" s="8" t="str">
        <x:v>Accepted</x:v>
      </x:c>
    </x:row>
    <x:row r="76">
      <x:c r="A76" s="16" t="str">
        <x:v>REQ-01</x:v>
      </x:c>
      <x:c r="B76" s="16" t="str">
        <x:v>Define sandbox and model testing schema requirements</x:v>
      </x:c>
      <x:c r="C76" s="16" t="str">
        <x:v>Given the PAULUS Define sandbox and model testing schema requirements task is implemented, the feature should meet the approved capstone requirements and pass review against its expected behavior.</x:v>
      </x:c>
      <x:c r="D76" s="18" t="n">
        <x:v>0.0013333333333333333</x:v>
      </x:c>
      <x:c r="E76" s="16" t="str">
        <x:v>standardized subtask - URL pending</x:v>
      </x:c>
      <x:c r="F76" s="17" t="b">
        <x:v>0</x:v>
      </x:c>
    </x:row>
    <x:row r="77">
      <x:c r="A77" s="16" t="str">
        <x:v>DES-01</x:v>
      </x:c>
      <x:c r="B77" s="16" t="str">
        <x:v>Design sandbox and model testing schema structure and workflow</x:v>
      </x:c>
      <x:c r="C77" s="16" t="str">
        <x:v>Given the PAULUS Design sandbox and model testing schema structure and workflow task is implemented, the feature should meet the approved capstone requirements and pass review against its expected behavior.</x:v>
      </x:c>
      <x:c r="D77" s="18" t="n">
        <x:v>0.0013333333333333333</x:v>
      </x:c>
      <x:c r="E77" s="16" t="str">
        <x:v>standardized subtask - URL pending</x:v>
      </x:c>
      <x:c r="F77" s="17" t="b">
        <x:v>0</x:v>
      </x:c>
    </x:row>
    <x:row r="78">
      <x:c r="A78" s="16" t="str">
        <x:v>DEV-01</x:v>
      </x:c>
      <x:c r="B78" s="16" t="str">
        <x:v>Implement sandbox and model testing schema baseline functionality</x:v>
      </x:c>
      <x:c r="C78" s="16" t="str">
        <x:v>Given the PAULUS Implement sandbox and model testing schema baseline functionality task is implemented, the feature should meet the approved capstone requirements and pass review against its expected behavior.</x:v>
      </x:c>
      <x:c r="D78" s="18" t="n">
        <x:v>0.0013333333333333333</x:v>
      </x:c>
      <x:c r="E78" s="16" t="str">
        <x:v>standardized subtask - URL pending</x:v>
      </x:c>
      <x:c r="F78" s="17" t="b">
        <x:v>0</x:v>
      </x:c>
    </x:row>
    <x:row r="79">
      <x:c r="A79" s="16" t="str">
        <x:v>TEST-01</x:v>
      </x:c>
      <x:c r="B79" s="16" t="str">
        <x:v>Test sandbox and model testing schema behavior and outputs</x:v>
      </x:c>
      <x:c r="C79" s="16" t="str">
        <x:v>Given the PAULUS Test sandbox and model testing schema behavior and outputs task is implemented, the feature should meet the approved capstone requirements and pass review against its expected behavior.</x:v>
      </x:c>
      <x:c r="D79" s="18" t="n">
        <x:v>0.0013333333333333333</x:v>
      </x:c>
      <x:c r="E79" s="16" t="str">
        <x:v>standardized subtask - URL pending</x:v>
      </x:c>
      <x:c r="F79" s="17" t="b">
        <x:v>0</x:v>
      </x:c>
    </x:row>
    <x:row r="80">
      <x:c r="A80" s="16" t="str">
        <x:v>FIX-01</x:v>
      </x:c>
      <x:c r="B80" s="16" t="str">
        <x:v>Resolve sandbox and model testing schema issues</x:v>
      </x:c>
      <x:c r="C80" s="16" t="str">
        <x:v>Given the PAULUS Resolve sandbox and model testing schema issues task is implemented, the feature should meet the approved capstone requirements and pass review against its expected behavior.</x:v>
      </x:c>
      <x:c r="D80" s="18" t="n">
        <x:v>0.0013333333333333333</x:v>
      </x:c>
      <x:c r="E80" s="16" t="str">
        <x:v>standardized subtask - URL pending</x:v>
      </x:c>
      <x:c r="F80" s="17" t="b">
        <x:v>0</x:v>
      </x:c>
    </x:row>
    <x:row r="81">
      <x:c r="A81" s="16" t="str">
        <x:v>MS-01</x:v>
      </x:c>
      <x:c r="B81" s="16" t="str">
        <x:v>Document sandbox and model testing schema in Chapter 3</x:v>
      </x:c>
      <x:c r="C81" s="16" t="str">
        <x:v>Given the PAULUS Document sandbox and model testing schema in Chapter 3 task is implemented, the feature should meet the approved capstone requirements and pass review against its expected behavior.</x:v>
      </x:c>
      <x:c r="D81" s="18" t="n">
        <x:v>0.0013333333333333333</x:v>
      </x:c>
      <x:c r="E81" s="16" t="str">
        <x:v>standardized subtask - URL pending</x:v>
      </x:c>
      <x:c r="F81" s="17" t="b">
        <x:v>0</x:v>
      </x:c>
    </x:row>
    <x:row r="82">
      <x:c r="A82" s="26" t="str">
        <x:v>Total Accomplished</x:v>
      </x:c>
      <x:c r="B82" s="26" t="str"/>
      <x:c r="C82" s="26" t="str"/>
      <x:c r="D82" s="27" t="n">
        <x:f>SUM(D76:D81)</x:f>
        <x:v>0.008</x:v>
      </x:c>
      <x:c r="E82" s="27" t="str"/>
      <x:c r="F82" s="27" t="n">
        <x:f>SUMIF(F76:F81, TRUE, D76:D81)</x:f>
        <x:v>0</x:v>
      </x:c>
    </x:row>
    <x:row r="84">
      <x:c r="A84" s="4" t="str">
        <x:v>Task ID</x:v>
      </x:c>
      <x:c r="B84" s="4" t="str">
        <x:v>BACKUP</x:v>
      </x:c>
      <x:c r="C84" s="4" t="str">
        <x:v>Task Name</x:v>
      </x:c>
      <x:c r="D84" s="4" t="str">
        <x:v>Backup and Recovery Setup</x:v>
      </x:c>
      <x:c r="E84" s="4" t="str">
        <x:v>ClickUp Status</x:v>
      </x:c>
      <x:c r="F84" s="4" t="str">
        <x:v>planning/backlog</x:v>
      </x:c>
    </x:row>
    <x:row r="85">
      <x:c r="A85" s="8" t="str">
        <x:v>Subtask ID</x:v>
      </x:c>
      <x:c r="B85" s="8" t="str">
        <x:v>Subtask / Task Name</x:v>
      </x:c>
      <x:c r="C85" s="8" t="str">
        <x:v>Acceptance Criteria</x:v>
      </x:c>
      <x:c r="D85" s="8" t="str">
        <x:v>Weight Allocation</x:v>
      </x:c>
      <x:c r="E85" s="8" t="str">
        <x:v>ClickUp Status</x:v>
      </x:c>
      <x:c r="F85" s="8" t="str">
        <x:v>Accepted</x:v>
      </x:c>
    </x:row>
    <x:row r="86">
      <x:c r="A86" s="16" t="str">
        <x:v>REQ-01</x:v>
      </x:c>
      <x:c r="B86" s="16" t="str">
        <x:v>Define backup and recovery setup requirements</x:v>
      </x:c>
      <x:c r="C86" s="16" t="str">
        <x:v>Given the PAULUS Define backup and recovery setup requirements task is implemented, the feature should meet the approved capstone requirements and pass review against its expected behavior.</x:v>
      </x:c>
      <x:c r="D86" s="18" t="n">
        <x:v>0.0013333333333333333</x:v>
      </x:c>
      <x:c r="E86" s="16" t="str">
        <x:v>standardized subtask - URL pending</x:v>
      </x:c>
      <x:c r="F86" s="17" t="b">
        <x:v>0</x:v>
      </x:c>
    </x:row>
    <x:row r="87">
      <x:c r="A87" s="16" t="str">
        <x:v>DES-01</x:v>
      </x:c>
      <x:c r="B87" s="16" t="str">
        <x:v>Design backup and recovery setup structure and workflow</x:v>
      </x:c>
      <x:c r="C87" s="16" t="str">
        <x:v>Given the PAULUS Design backup and recovery setup structure and workflow task is implemented, the feature should meet the approved capstone requirements and pass review against its expected behavior.</x:v>
      </x:c>
      <x:c r="D87" s="18" t="n">
        <x:v>0.0013333333333333333</x:v>
      </x:c>
      <x:c r="E87" s="16" t="str">
        <x:v>standardized subtask - URL pending</x:v>
      </x:c>
      <x:c r="F87" s="17" t="b">
        <x:v>0</x:v>
      </x:c>
    </x:row>
    <x:row r="88">
      <x:c r="A88" s="16" t="str">
        <x:v>DEV-01</x:v>
      </x:c>
      <x:c r="B88" s="16" t="str">
        <x:v>Implement backup and recovery setup baseline functionality</x:v>
      </x:c>
      <x:c r="C88" s="16" t="str">
        <x:v>Given the PAULUS Implement backup and recovery setup baseline functionality task is implemented, the feature should meet the approved capstone requirements and pass review against its expected behavior.</x:v>
      </x:c>
      <x:c r="D88" s="18" t="n">
        <x:v>0.0013333333333333333</x:v>
      </x:c>
      <x:c r="E88" s="16" t="str">
        <x:v>standardized subtask - URL pending</x:v>
      </x:c>
      <x:c r="F88" s="17" t="b">
        <x:v>0</x:v>
      </x:c>
    </x:row>
    <x:row r="89">
      <x:c r="A89" s="16" t="str">
        <x:v>TEST-01</x:v>
      </x:c>
      <x:c r="B89" s="16" t="str">
        <x:v>Test backup and recovery setup behavior and outputs</x:v>
      </x:c>
      <x:c r="C89" s="16" t="str">
        <x:v>Given the PAULUS Test backup and recovery setup behavior and outputs task is implemented, the feature should meet the approved capstone requirements and pass review against its expected behavior.</x:v>
      </x:c>
      <x:c r="D89" s="18" t="n">
        <x:v>0.0013333333333333333</x:v>
      </x:c>
      <x:c r="E89" s="16" t="str">
        <x:v>standardized subtask - URL pending</x:v>
      </x:c>
      <x:c r="F89" s="17" t="b">
        <x:v>0</x:v>
      </x:c>
    </x:row>
    <x:row r="90">
      <x:c r="A90" s="16" t="str">
        <x:v>FIX-01</x:v>
      </x:c>
      <x:c r="B90" s="16" t="str">
        <x:v>Resolve backup and recovery setup issues</x:v>
      </x:c>
      <x:c r="C90" s="16" t="str">
        <x:v>Given the PAULUS Resolve backup and recovery setup issues task is implemented, the feature should meet the approved capstone requirements and pass review against its expected behavior.</x:v>
      </x:c>
      <x:c r="D90" s="18" t="n">
        <x:v>0.0013333333333333333</x:v>
      </x:c>
      <x:c r="E90" s="16" t="str">
        <x:v>standardized subtask - URL pending</x:v>
      </x:c>
      <x:c r="F90" s="17" t="b">
        <x:v>0</x:v>
      </x:c>
    </x:row>
    <x:row r="91">
      <x:c r="A91" s="16" t="str">
        <x:v>MS-01</x:v>
      </x:c>
      <x:c r="B91" s="16" t="str">
        <x:v>Document backup and recovery setup in Chapter 3</x:v>
      </x:c>
      <x:c r="C91" s="16" t="str">
        <x:v>Given the PAULUS Document backup and recovery setup in Chapter 3 task is implemented, the feature should meet the approved capstone requirements and pass review against its expected behavior.</x:v>
      </x:c>
      <x:c r="D91" s="18" t="n">
        <x:v>0.0013333333333333333</x:v>
      </x:c>
      <x:c r="E91" s="16" t="str">
        <x:v>standardized subtask - URL pending</x:v>
      </x:c>
      <x:c r="F91" s="17" t="b">
        <x:v>0</x:v>
      </x:c>
    </x:row>
    <x:row r="92">
      <x:c r="A92" s="26" t="str">
        <x:v>Total Accomplished</x:v>
      </x:c>
      <x:c r="B92" s="26" t="str"/>
      <x:c r="C92" s="26" t="str"/>
      <x:c r="D92" s="27" t="n">
        <x:f>SUM(D86:D91)</x:f>
        <x:v>0.008</x:v>
      </x:c>
      <x:c r="E92" s="27" t="str"/>
      <x:c r="F92" s="27" t="n">
        <x:f>SUMIF(F86:F91, TRUE, D86:D91)</x:f>
        <x:v>0</x:v>
      </x:c>
    </x:row>
    <x:row r="94">
      <x:c r="A94" s="4" t="str">
        <x:v>Task ID</x:v>
      </x:c>
      <x:c r="B94" s="4" t="str">
        <x:v>FINBACKUP</x:v>
      </x:c>
      <x:c r="C94" s="4" t="str">
        <x:v>Task Name</x:v>
      </x:c>
      <x:c r="D94" s="4" t="str">
        <x:v>Backup Input for Financial Data</x:v>
      </x:c>
      <x:c r="E94" s="4" t="str">
        <x:v>ClickUp Status</x:v>
      </x:c>
      <x:c r="F94" s="4" t="str">
        <x:v>planning/backlog</x:v>
      </x:c>
    </x:row>
    <x:row r="95">
      <x:c r="A95" s="8" t="str">
        <x:v>Subtask ID</x:v>
      </x:c>
      <x:c r="B95" s="8" t="str">
        <x:v>Subtask / Task Name</x:v>
      </x:c>
      <x:c r="C95" s="8" t="str">
        <x:v>Acceptance Criteria</x:v>
      </x:c>
      <x:c r="D95" s="8" t="str">
        <x:v>Weight Allocation</x:v>
      </x:c>
      <x:c r="E95" s="8" t="str">
        <x:v>ClickUp Status</x:v>
      </x:c>
      <x:c r="F95" s="8" t="str">
        <x:v>Accepted</x:v>
      </x:c>
    </x:row>
    <x:row r="96">
      <x:c r="A96" s="16" t="str">
        <x:v>REQ-01</x:v>
      </x:c>
      <x:c r="B96" s="16" t="str">
        <x:v>Define backup input data requirements</x:v>
      </x:c>
      <x:c r="C96" s="16" t="str">
        <x:v>Given the PAULUS Define backup input data requirements task is implemented, the feature should meet the approved capstone requirements and pass review against its expected behavior.</x:v>
      </x:c>
      <x:c r="D96" s="18" t="n">
        <x:v>0.0013333333333333333</x:v>
      </x:c>
      <x:c r="E96" s="16" t="str">
        <x:v>planning/backlog</x:v>
      </x:c>
      <x:c r="F96" s="17" t="b">
        <x:v>0</x:v>
      </x:c>
    </x:row>
    <x:row r="97">
      <x:c r="A97" s="16" t="str">
        <x:v>DES-01</x:v>
      </x:c>
      <x:c r="B97" s="16" t="str">
        <x:v>Design backup input storage and staging structure</x:v>
      </x:c>
      <x:c r="C97" s="16" t="str">
        <x:v>Given the PAULUS Design backup input storage and staging structure task is implemented, the feature should meet the approved capstone requirements and pass review against its expected behavior.</x:v>
      </x:c>
      <x:c r="D97" s="18" t="n">
        <x:v>0.0013333333333333333</x:v>
      </x:c>
      <x:c r="E97" s="16" t="str">
        <x:v>planning/backlog</x:v>
      </x:c>
      <x:c r="F97" s="17" t="b">
        <x:v>0</x:v>
      </x:c>
    </x:row>
    <x:row r="98">
      <x:c r="A98" s="16" t="str">
        <x:v>DEV-01</x:v>
      </x:c>
      <x:c r="B98" s="16" t="str">
        <x:v>Build backup input storage and staging structure</x:v>
      </x:c>
      <x:c r="C98" s="16" t="str">
        <x:v>Given the PAULUS Build backup input storage and staging structure task is implemented, the feature should meet the approved capstone requirements and pass review against its expected behavior.</x:v>
      </x:c>
      <x:c r="D98" s="18" t="n">
        <x:v>0.0013333333333333333</x:v>
      </x:c>
      <x:c r="E98" s="16" t="str">
        <x:v>planning/backlog</x:v>
      </x:c>
      <x:c r="F98" s="17" t="b">
        <x:v>0</x:v>
      </x:c>
    </x:row>
    <x:row r="99">
      <x:c r="A99" s="16" t="str">
        <x:v>TEST-01</x:v>
      </x:c>
      <x:c r="B99" s="16" t="str">
        <x:v>Test duplicate handling, validation rules, and import constraints</x:v>
      </x:c>
      <x:c r="C99" s="16" t="str">
        <x:v>Given the PAULUS Test duplicate handling, validation rules, and import constraints task is implemented, the feature should meet the approved capstone requirements and pass review against its expected behavior.</x:v>
      </x:c>
      <x:c r="D99" s="18" t="n">
        <x:v>0.0013333333333333333</x:v>
      </x:c>
      <x:c r="E99" s="16" t="str">
        <x:v>planning/backlog</x:v>
      </x:c>
      <x:c r="F99" s="17" t="b">
        <x:v>0</x:v>
      </x:c>
    </x:row>
    <x:row r="100">
      <x:c r="A100" s="16" t="str">
        <x:v>FIX-01</x:v>
      </x:c>
      <x:c r="B100" s="16" t="str">
        <x:v>Resolve financial backup input storage issues</x:v>
      </x:c>
      <x:c r="C100" s="16" t="str">
        <x:v>Given the PAULUS Resolve financial backup input storage issues task is implemented, the feature should meet the approved capstone requirements and pass review against its expected behavior.</x:v>
      </x:c>
      <x:c r="D100" s="18" t="n">
        <x:v>0.0013333333333333333</x:v>
      </x:c>
      <x:c r="E100" s="16" t="str">
        <x:v>planning/backlog</x:v>
      </x:c>
      <x:c r="F100" s="17" t="b">
        <x:v>0</x:v>
      </x:c>
    </x:row>
    <x:row r="101">
      <x:c r="A101" s="16" t="str">
        <x:v>MS-01</x:v>
      </x:c>
      <x:c r="B101" s="16" t="str">
        <x:v>Document financial backup input storage design</x:v>
      </x:c>
      <x:c r="C101" s="16" t="str">
        <x:v>Given the PAULUS Document financial backup input storage design task is implemented, the feature should meet the approved capstone requirements and pass review against its expected behavior.</x:v>
      </x:c>
      <x:c r="D101" s="18" t="n">
        <x:v>0.0013333333333333333</x:v>
      </x:c>
      <x:c r="E101" s="16" t="str">
        <x:v>planning/backlog</x:v>
      </x:c>
      <x:c r="F101" s="17" t="b">
        <x:v>0</x:v>
      </x:c>
    </x:row>
    <x:row r="102">
      <x:c r="A102" s="26" t="str">
        <x:v>Total Accomplished</x:v>
      </x:c>
      <x:c r="B102" s="26" t="str"/>
      <x:c r="C102" s="26" t="str"/>
      <x:c r="D102" s="27" t="n">
        <x:f>SUM(D96:D101)</x:f>
        <x:v>0.008</x:v>
      </x:c>
      <x:c r="E102" s="27" t="str"/>
      <x:c r="F102" s="27" t="n">
        <x:f>SUMIF(F96:F101, TRUE, D96:D101)</x:f>
        <x:v>0</x:v>
      </x:c>
    </x:row>
    <x:row r="105">
      <x:c r="A105" s="34" t="str">
        <x:v>Module Accomplishment</x:v>
      </x:c>
      <x:c r="B105" s="34" t="str">
        <x:v>MOD-DB</x:v>
      </x:c>
      <x:c r="C105" s="34" t="str">
        <x:v>Database, ETL, and Storage Layers</x:v>
      </x:c>
      <x:c r="D105" s="35" t="n">
        <x:v>0.08</x:v>
      </x:c>
      <x:c r="E105" s="35" t="str"/>
      <x:c r="F105" s="35" t="n">
        <x:f>SUM('MOD-DB'!F9,'MOD-DB'!F19,'MOD-DB'!F31,'MOD-DB'!F41,'MOD-DB'!F51,'MOD-DB'!F62,'MOD-DB'!F72,'MOD-DB'!F82,'MOD-DB'!F92,'MOD-DB'!F102)</x:f>
        <x:v>0</x:v>
      </x:c>
    </x:row>
  </x:sheetData>
  <x:dataValidations count="10">
    <x:dataValidation type="list" sqref="F3:F8">
      <x:formula1>"TRUE,FALSE"</x:formula1>
    </x:dataValidation>
    <x:dataValidation type="list" sqref="F13:F18">
      <x:formula1>"TRUE,FALSE"</x:formula1>
    </x:dataValidation>
    <x:dataValidation type="list" sqref="F23:F30">
      <x:formula1>"TRUE,FALSE"</x:formula1>
    </x:dataValidation>
    <x:dataValidation type="list" sqref="F35:F40">
      <x:formula1>"TRUE,FALSE"</x:formula1>
    </x:dataValidation>
    <x:dataValidation type="list" sqref="F45:F50">
      <x:formula1>"TRUE,FALSE"</x:formula1>
    </x:dataValidation>
    <x:dataValidation type="list" sqref="F55:F61">
      <x:formula1>"TRUE,FALSE"</x:formula1>
    </x:dataValidation>
    <x:dataValidation type="list" sqref="F66:F71">
      <x:formula1>"TRUE,FALSE"</x:formula1>
    </x:dataValidation>
    <x:dataValidation type="list" sqref="F76:F81">
      <x:formula1>"TRUE,FALSE"</x:formula1>
    </x:dataValidation>
    <x:dataValidation type="list" sqref="F86:F91">
      <x:formula1>"TRUE,FALSE"</x:formula1>
    </x:dataValidation>
    <x:dataValidation type="list" sqref="F96:F101">
      <x:formula1>"TRUE,FALSE"</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32.5" hidden="0" customWidth="1"/>
    <x:col min="3" max="3" width="53.75" hidden="0" customWidth="1"/>
    <x:col min="4" max="4" width="15" hidden="0" customWidth="1"/>
    <x:col min="5" max="5" width="16.8799991607666" hidden="0" customWidth="1"/>
    <x:col min="6" max="6" width="16.8799991607666" hidden="0" customWidth="1"/>
  </x:cols>
  <x:sheetData>
    <x:row r="1">
      <x:c r="A1" s="4" t="str">
        <x:v>Task ID</x:v>
      </x:c>
      <x:c r="B1" s="4" t="str">
        <x:v>RATIO</x:v>
      </x:c>
      <x:c r="C1" s="4" t="str">
        <x:v>Task Name</x:v>
      </x:c>
      <x:c r="D1" s="4" t="str">
        <x:v>Financial Ratio Analysis Module</x:v>
      </x:c>
      <x:c r="E1" s="4" t="str">
        <x:v>ClickUp Status</x:v>
      </x:c>
      <x:c r="F1" s="4" t="str">
        <x:v>planning/backlog</x:v>
      </x:c>
    </x:row>
    <x:row r="2">
      <x:c r="A2" s="8" t="str">
        <x:v>Subtask ID</x:v>
      </x:c>
      <x:c r="B2" s="8" t="str">
        <x:v>Subtask / Task Name</x:v>
      </x:c>
      <x:c r="C2" s="8" t="str">
        <x:v>Acceptance Criteria</x:v>
      </x:c>
      <x:c r="D2" s="8" t="str">
        <x:v>Weight Allocation</x:v>
      </x:c>
      <x:c r="E2" s="8" t="str">
        <x:v>ClickUp Status</x:v>
      </x:c>
      <x:c r="F2" s="8" t="str">
        <x:v>Accepted</x:v>
      </x:c>
    </x:row>
    <x:row r="3">
      <x:c r="A3" s="16" t="str">
        <x:v>REQ-01</x:v>
      </x:c>
      <x:c r="B3" s="16" t="str">
        <x:v>Define financial ratio analysis module requirements</x:v>
      </x:c>
      <x:c r="C3" s="16" t="str">
        <x:v>Given the PAULUS Define financial ratio analysis module requirements task is implemented, the feature should meet the approved capstone requirements and pass review against its expected behavior.</x:v>
      </x:c>
      <x:c r="D3" s="18" t="n">
        <x:v>0.007916666666666666</x:v>
      </x:c>
      <x:c r="E3" s="16" t="str">
        <x:v>standardized subtask - URL pending</x:v>
      </x:c>
      <x:c r="F3" s="17" t="b">
        <x:v>0</x:v>
      </x:c>
    </x:row>
    <x:row r="4">
      <x:c r="A4" s="16" t="str">
        <x:v>DES-01</x:v>
      </x:c>
      <x:c r="B4" s="16" t="str">
        <x:v>Design financial ratio analysis module structure and workflow</x:v>
      </x:c>
      <x:c r="C4" s="16" t="str">
        <x:v>Given the PAULUS Design financial ratio analysis module structure and workflow task is implemented, the feature should meet the approved capstone requirements and pass review against its expected behavior.</x:v>
      </x:c>
      <x:c r="D4" s="18" t="n">
        <x:v>0.007916666666666666</x:v>
      </x:c>
      <x:c r="E4" s="16" t="str">
        <x:v>standardized subtask - URL pending</x:v>
      </x:c>
      <x:c r="F4" s="17" t="b">
        <x:v>0</x:v>
      </x:c>
    </x:row>
    <x:row r="5">
      <x:c r="A5" s="16" t="str">
        <x:v>DEV-01</x:v>
      </x:c>
      <x:c r="B5" s="16" t="str">
        <x:v>Implement financial ratio analysis module baseline functionality</x:v>
      </x:c>
      <x:c r="C5" s="16" t="str">
        <x:v>Given the PAULUS Implement financial ratio analysis module baseline functionality task is implemented, the feature should meet the approved capstone requirements and pass review against its expected behavior.</x:v>
      </x:c>
      <x:c r="D5" s="18" t="n">
        <x:v>0.007916666666666666</x:v>
      </x:c>
      <x:c r="E5" s="16" t="str">
        <x:v>standardized subtask - URL pending</x:v>
      </x:c>
      <x:c r="F5" s="17" t="b">
        <x:v>0</x:v>
      </x:c>
    </x:row>
    <x:row r="6">
      <x:c r="A6" s="16" t="str">
        <x:v>TEST-01</x:v>
      </x:c>
      <x:c r="B6" s="16" t="str">
        <x:v>Test financial ratio analysis module behavior and outputs</x:v>
      </x:c>
      <x:c r="C6" s="16" t="str">
        <x:v>Given the PAULUS Test financial ratio analysis module behavior and outputs task is implemented, the feature should meet the approved capstone requirements and pass review against its expected behavior.</x:v>
      </x:c>
      <x:c r="D6" s="18" t="n">
        <x:v>0.007916666666666666</x:v>
      </x:c>
      <x:c r="E6" s="16" t="str">
        <x:v>standardized subtask - URL pending</x:v>
      </x:c>
      <x:c r="F6" s="17" t="b">
        <x:v>0</x:v>
      </x:c>
    </x:row>
    <x:row r="7">
      <x:c r="A7" s="16" t="str">
        <x:v>FIX-01</x:v>
      </x:c>
      <x:c r="B7" s="16" t="str">
        <x:v>Resolve financial ratio analysis module issues</x:v>
      </x:c>
      <x:c r="C7" s="16" t="str">
        <x:v>Given the PAULUS Resolve financial ratio analysis module issues task is implemented, the feature should meet the approved capstone requirements and pass review against its expected behavior.</x:v>
      </x:c>
      <x:c r="D7" s="18" t="n">
        <x:v>0.007916666666666666</x:v>
      </x:c>
      <x:c r="E7" s="16" t="str">
        <x:v>standardized subtask - URL pending</x:v>
      </x:c>
      <x:c r="F7" s="17" t="b">
        <x:v>0</x:v>
      </x:c>
    </x:row>
    <x:row r="8">
      <x:c r="A8" s="16" t="str">
        <x:v>MS-01</x:v>
      </x:c>
      <x:c r="B8" s="16" t="str">
        <x:v>Document financial ratio analysis module in Chapter 4</x:v>
      </x:c>
      <x:c r="C8" s="16" t="str">
        <x:v>Given the PAULUS Document financial ratio analysis module in Chapter 4 task is implemented, the feature should meet the approved capstone requirements and pass review against its expected behavior.</x:v>
      </x:c>
      <x:c r="D8" s="18" t="n">
        <x:v>0.007916666666666666</x:v>
      </x:c>
      <x:c r="E8" s="16" t="str">
        <x:v>standardized subtask - URL pending</x:v>
      </x:c>
      <x:c r="F8" s="17" t="b">
        <x:v>0</x:v>
      </x:c>
    </x:row>
    <x:row r="9">
      <x:c r="A9" s="26" t="str">
        <x:v>Total Accomplished</x:v>
      </x:c>
      <x:c r="B9" s="26" t="str"/>
      <x:c r="C9" s="26" t="str"/>
      <x:c r="D9" s="27" t="n">
        <x:f>SUM(D3:D8)</x:f>
        <x:v>0.0475</x:v>
      </x:c>
      <x:c r="E9" s="27" t="str"/>
      <x:c r="F9" s="27" t="n">
        <x:f>SUMIF(F3:F8, TRUE, D3:D8)</x:f>
        <x:v>0</x:v>
      </x:c>
    </x:row>
    <x:row r="11">
      <x:c r="A11" s="4" t="str">
        <x:v>Task ID</x:v>
      </x:c>
      <x:c r="B11" s="4" t="str">
        <x:v>HEALTH</x:v>
      </x:c>
      <x:c r="C11" s="4" t="str">
        <x:v>Task Name</x:v>
      </x:c>
      <x:c r="D11" s="4" t="str">
        <x:v>Financial Health Classification Model</x:v>
      </x:c>
      <x:c r="E11" s="4" t="str">
        <x:v>ClickUp Status</x:v>
      </x:c>
      <x:c r="F11" s="4" t="str">
        <x:v>planning/backlog</x:v>
      </x:c>
    </x:row>
    <x:row r="12">
      <x:c r="A12" s="8" t="str">
        <x:v>Subtask ID</x:v>
      </x:c>
      <x:c r="B12" s="8" t="str">
        <x:v>Subtask / Task Name</x:v>
      </x:c>
      <x:c r="C12" s="8" t="str">
        <x:v>Acceptance Criteria</x:v>
      </x:c>
      <x:c r="D12" s="8" t="str">
        <x:v>Weight Allocation</x:v>
      </x:c>
      <x:c r="E12" s="8" t="str">
        <x:v>ClickUp Status</x:v>
      </x:c>
      <x:c r="F12" s="8" t="str">
        <x:v>Accepted</x:v>
      </x:c>
    </x:row>
    <x:row r="13">
      <x:c r="A13" s="16" t="str">
        <x:v>REQ-01</x:v>
      </x:c>
      <x:c r="B13" s="16" t="str">
        <x:v>Define financial health classification model requirements</x:v>
      </x:c>
      <x:c r="C13" s="16" t="str">
        <x:v>Given the PAULUS Define financial health classification model requirements task is implemented, the feature should meet the approved capstone requirements and pass review against its expected behavior.</x:v>
      </x:c>
      <x:c r="D13" s="18" t="n">
        <x:v>0.007916666666666666</x:v>
      </x:c>
      <x:c r="E13" s="16" t="str">
        <x:v>standardized subtask - URL pending</x:v>
      </x:c>
      <x:c r="F13" s="17" t="b">
        <x:v>0</x:v>
      </x:c>
    </x:row>
    <x:row r="14">
      <x:c r="A14" s="16" t="str">
        <x:v>DES-01</x:v>
      </x:c>
      <x:c r="B14" s="16" t="str">
        <x:v>Design financial health classification model structure and workflow</x:v>
      </x:c>
      <x:c r="C14" s="16" t="str">
        <x:v>Given the PAULUS Design financial health classification model structure and workflow task is implemented, the feature should meet the approved capstone requirements and pass review against its expected behavior.</x:v>
      </x:c>
      <x:c r="D14" s="18" t="n">
        <x:v>0.007916666666666666</x:v>
      </x:c>
      <x:c r="E14" s="16" t="str">
        <x:v>standardized subtask - URL pending</x:v>
      </x:c>
      <x:c r="F14" s="17" t="b">
        <x:v>0</x:v>
      </x:c>
    </x:row>
    <x:row r="15">
      <x:c r="A15" s="16" t="str">
        <x:v>DEV-01</x:v>
      </x:c>
      <x:c r="B15" s="16" t="str">
        <x:v>Implement financial health classification model baseline functionality</x:v>
      </x:c>
      <x:c r="C15" s="16" t="str">
        <x:v>Given the PAULUS Implement financial health classification model baseline functionality task is implemented, the feature should meet the approved capstone requirements and pass review against its expected behavior.</x:v>
      </x:c>
      <x:c r="D15" s="18" t="n">
        <x:v>0.007916666666666666</x:v>
      </x:c>
      <x:c r="E15" s="16" t="str">
        <x:v>standardized subtask - URL pending</x:v>
      </x:c>
      <x:c r="F15" s="17" t="b">
        <x:v>0</x:v>
      </x:c>
    </x:row>
    <x:row r="16">
      <x:c r="A16" s="16" t="str">
        <x:v>TEST-01</x:v>
      </x:c>
      <x:c r="B16" s="16" t="str">
        <x:v>Test financial health classification model behavior and outputs</x:v>
      </x:c>
      <x:c r="C16" s="16" t="str">
        <x:v>Given the PAULUS Test financial health classification model behavior and outputs task is implemented, the feature should meet the approved capstone requirements and pass review against its expected behavior.</x:v>
      </x:c>
      <x:c r="D16" s="18" t="n">
        <x:v>0.007916666666666666</x:v>
      </x:c>
      <x:c r="E16" s="16" t="str">
        <x:v>standardized subtask - URL pending</x:v>
      </x:c>
      <x:c r="F16" s="17" t="b">
        <x:v>0</x:v>
      </x:c>
    </x:row>
    <x:row r="17">
      <x:c r="A17" s="16" t="str">
        <x:v>FIX-01</x:v>
      </x:c>
      <x:c r="B17" s="16" t="str">
        <x:v>Resolve financial health classification model issues</x:v>
      </x:c>
      <x:c r="C17" s="16" t="str">
        <x:v>Given the PAULUS Resolve financial health classification model issues task is implemented, the feature should meet the approved capstone requirements and pass review against its expected behavior.</x:v>
      </x:c>
      <x:c r="D17" s="18" t="n">
        <x:v>0.007916666666666666</x:v>
      </x:c>
      <x:c r="E17" s="16" t="str">
        <x:v>standardized subtask - URL pending</x:v>
      </x:c>
      <x:c r="F17" s="17" t="b">
        <x:v>0</x:v>
      </x:c>
    </x:row>
    <x:row r="18">
      <x:c r="A18" s="16" t="str">
        <x:v>MS-01</x:v>
      </x:c>
      <x:c r="B18" s="16" t="str">
        <x:v>Document financial health classification model in Chapter 4</x:v>
      </x:c>
      <x:c r="C18" s="16" t="str">
        <x:v>Given the PAULUS Document financial health classification model in Chapter 4 task is implemented, the feature should meet the approved capstone requirements and pass review against its expected behavior.</x:v>
      </x:c>
      <x:c r="D18" s="18" t="n">
        <x:v>0.007916666666666666</x:v>
      </x:c>
      <x:c r="E18" s="16" t="str">
        <x:v>standardized subtask - URL pending</x:v>
      </x:c>
      <x:c r="F18" s="17" t="b">
        <x:v>0</x:v>
      </x:c>
    </x:row>
    <x:row r="19">
      <x:c r="A19" s="26" t="str">
        <x:v>Total Accomplished</x:v>
      </x:c>
      <x:c r="B19" s="26" t="str"/>
      <x:c r="C19" s="26" t="str"/>
      <x:c r="D19" s="27" t="n">
        <x:f>SUM(D13:D18)</x:f>
        <x:v>0.0475</x:v>
      </x:c>
      <x:c r="E19" s="27" t="str"/>
      <x:c r="F19" s="27" t="n">
        <x:f>SUMIF(F13:F18, TRUE, D13:D18)</x:f>
        <x:v>0</x:v>
      </x:c>
    </x:row>
    <x:row r="21">
      <x:c r="A21" s="4" t="str">
        <x:v>Task ID</x:v>
      </x:c>
      <x:c r="B21" s="4" t="str">
        <x:v>FORECAST</x:v>
      </x:c>
      <x:c r="C21" s="4" t="str">
        <x:v>Task Name</x:v>
      </x:c>
      <x:c r="D21" s="4" t="str">
        <x:v>Short-Term Financial Forecasting</x:v>
      </x:c>
      <x:c r="E21" s="4" t="str">
        <x:v>ClickUp Status</x:v>
      </x:c>
      <x:c r="F21" s="4" t="str">
        <x:v>planning/backlog</x:v>
      </x:c>
    </x:row>
    <x:row r="22">
      <x:c r="A22" s="8" t="str">
        <x:v>Subtask ID</x:v>
      </x:c>
      <x:c r="B22" s="8" t="str">
        <x:v>Subtask / Task Name</x:v>
      </x:c>
      <x:c r="C22" s="8" t="str">
        <x:v>Acceptance Criteria</x:v>
      </x:c>
      <x:c r="D22" s="8" t="str">
        <x:v>Weight Allocation</x:v>
      </x:c>
      <x:c r="E22" s="8" t="str">
        <x:v>ClickUp Status</x:v>
      </x:c>
      <x:c r="F22" s="8" t="str">
        <x:v>Accepted</x:v>
      </x:c>
    </x:row>
    <x:row r="23">
      <x:c r="A23" s="16" t="str">
        <x:v>REQ-01</x:v>
      </x:c>
      <x:c r="B23" s="16" t="str">
        <x:v>Define short-term financial forecasting module requirements</x:v>
      </x:c>
      <x:c r="C23" s="16" t="str">
        <x:v>Given the PAULUS Define short-term financial forecasting module requirements task is implemented, the feature should meet the approved capstone requirements and pass review against its expected behavior.</x:v>
      </x:c>
      <x:c r="D23" s="18" t="n">
        <x:v>0.007916666666666666</x:v>
      </x:c>
      <x:c r="E23" s="16" t="str">
        <x:v>standardized subtask - URL pending</x:v>
      </x:c>
      <x:c r="F23" s="17" t="b">
        <x:v>0</x:v>
      </x:c>
    </x:row>
    <x:row r="24">
      <x:c r="A24" s="16" t="str">
        <x:v>DES-01</x:v>
      </x:c>
      <x:c r="B24" s="16" t="str">
        <x:v>Design short-term financial forecasting module structure and workflow</x:v>
      </x:c>
      <x:c r="C24" s="16" t="str">
        <x:v>Given the PAULUS Design short-term financial forecasting module structure and workflow task is implemented, the feature should meet the approved capstone requirements and pass review against its expected behavior.</x:v>
      </x:c>
      <x:c r="D24" s="18" t="n">
        <x:v>0.007916666666666666</x:v>
      </x:c>
      <x:c r="E24" s="16" t="str">
        <x:v>standardized subtask - URL pending</x:v>
      </x:c>
      <x:c r="F24" s="17" t="b">
        <x:v>0</x:v>
      </x:c>
    </x:row>
    <x:row r="25">
      <x:c r="A25" s="16" t="str">
        <x:v>DEV-01</x:v>
      </x:c>
      <x:c r="B25" s="16" t="str">
        <x:v>Implement short-term financial forecasting module baseline functionality</x:v>
      </x:c>
      <x:c r="C25" s="16" t="str">
        <x:v>Given the PAULUS Implement short-term financial forecasting module baseline functionality task is implemented, the feature should meet the approved capstone requirements and pass review against its expected behavior.</x:v>
      </x:c>
      <x:c r="D25" s="18" t="n">
        <x:v>0.007916666666666666</x:v>
      </x:c>
      <x:c r="E25" s="16" t="str">
        <x:v>standardized subtask - URL pending</x:v>
      </x:c>
      <x:c r="F25" s="17" t="b">
        <x:v>0</x:v>
      </x:c>
    </x:row>
    <x:row r="26">
      <x:c r="A26" s="16" t="str">
        <x:v>TEST-01</x:v>
      </x:c>
      <x:c r="B26" s="16" t="str">
        <x:v>Test short-term financial forecasting module behavior and outputs</x:v>
      </x:c>
      <x:c r="C26" s="16" t="str">
        <x:v>Given the PAULUS Test short-term financial forecasting module behavior and outputs task is implemented, the feature should meet the approved capstone requirements and pass review against its expected behavior.</x:v>
      </x:c>
      <x:c r="D26" s="18" t="n">
        <x:v>0.007916666666666666</x:v>
      </x:c>
      <x:c r="E26" s="16" t="str">
        <x:v>standardized subtask - URL pending</x:v>
      </x:c>
      <x:c r="F26" s="17" t="b">
        <x:v>0</x:v>
      </x:c>
    </x:row>
    <x:row r="27">
      <x:c r="A27" s="16" t="str">
        <x:v>FIX-01</x:v>
      </x:c>
      <x:c r="B27" s="16" t="str">
        <x:v>Resolve short-term financial forecasting module issues</x:v>
      </x:c>
      <x:c r="C27" s="16" t="str">
        <x:v>Given the PAULUS Resolve short-term financial forecasting module issues task is implemented, the feature should meet the approved capstone requirements and pass review against its expected behavior.</x:v>
      </x:c>
      <x:c r="D27" s="18" t="n">
        <x:v>0.007916666666666666</x:v>
      </x:c>
      <x:c r="E27" s="16" t="str">
        <x:v>standardized subtask - URL pending</x:v>
      </x:c>
      <x:c r="F27" s="17" t="b">
        <x:v>0</x:v>
      </x:c>
    </x:row>
    <x:row r="28">
      <x:c r="A28" s="16" t="str">
        <x:v>MS-01</x:v>
      </x:c>
      <x:c r="B28" s="16" t="str">
        <x:v>Document short-term financial forecasting module in Chapter 4</x:v>
      </x:c>
      <x:c r="C28" s="16" t="str">
        <x:v>Given the PAULUS Document short-term financial forecasting module in Chapter 4 task is implemented, the feature should meet the approved capstone requirements and pass review against its expected behavior.</x:v>
      </x:c>
      <x:c r="D28" s="18" t="n">
        <x:v>0.007916666666666666</x:v>
      </x:c>
      <x:c r="E28" s="16" t="str">
        <x:v>standardized subtask - URL pending</x:v>
      </x:c>
      <x:c r="F28" s="17" t="b">
        <x:v>0</x:v>
      </x:c>
    </x:row>
    <x:row r="29">
      <x:c r="A29" s="26" t="str">
        <x:v>Total Accomplished</x:v>
      </x:c>
      <x:c r="B29" s="26" t="str"/>
      <x:c r="C29" s="26" t="str"/>
      <x:c r="D29" s="27" t="n">
        <x:f>SUM(D23:D28)</x:f>
        <x:v>0.0475</x:v>
      </x:c>
      <x:c r="E29" s="27" t="str"/>
      <x:c r="F29" s="27" t="n">
        <x:f>SUMIF(F23:F28, TRUE, D23:D28)</x:f>
        <x:v>0</x:v>
      </x:c>
    </x:row>
    <x:row r="31">
      <x:c r="A31" s="4" t="str">
        <x:v>Task ID</x:v>
      </x:c>
      <x:c r="B31" s="4" t="str">
        <x:v>RECO</x:v>
      </x:c>
      <x:c r="C31" s="4" t="str">
        <x:v>Task Name</x:v>
      </x:c>
      <x:c r="D31" s="4" t="str">
        <x:v>Decision-Support Recommendation Model</x:v>
      </x:c>
      <x:c r="E31" s="4" t="str">
        <x:v>ClickUp Status</x:v>
      </x:c>
      <x:c r="F31" s="4" t="str">
        <x:v>planning/backlog</x:v>
      </x:c>
    </x:row>
    <x:row r="32">
      <x:c r="A32" s="8" t="str">
        <x:v>Subtask ID</x:v>
      </x:c>
      <x:c r="B32" s="8" t="str">
        <x:v>Subtask / Task Name</x:v>
      </x:c>
      <x:c r="C32" s="8" t="str">
        <x:v>Acceptance Criteria</x:v>
      </x:c>
      <x:c r="D32" s="8" t="str">
        <x:v>Weight Allocation</x:v>
      </x:c>
      <x:c r="E32" s="8" t="str">
        <x:v>ClickUp Status</x:v>
      </x:c>
      <x:c r="F32" s="8" t="str">
        <x:v>Accepted</x:v>
      </x:c>
    </x:row>
    <x:row r="33">
      <x:c r="A33" s="16" t="str">
        <x:v>REQ-01</x:v>
      </x:c>
      <x:c r="B33" s="16" t="str">
        <x:v>Define decision-support recommendation model requirements</x:v>
      </x:c>
      <x:c r="C33" s="16" t="str">
        <x:v>Given the PAULUS Define decision-support recommendation model requirements task is implemented, the feature should meet the approved capstone requirements and pass review against its expected behavior.</x:v>
      </x:c>
      <x:c r="D33" s="18" t="n">
        <x:v>0.007916666666666666</x:v>
      </x:c>
      <x:c r="E33" s="16" t="str">
        <x:v>standardized subtask - URL pending</x:v>
      </x:c>
      <x:c r="F33" s="17" t="b">
        <x:v>0</x:v>
      </x:c>
    </x:row>
    <x:row r="34">
      <x:c r="A34" s="16" t="str">
        <x:v>DES-01</x:v>
      </x:c>
      <x:c r="B34" s="16" t="str">
        <x:v>Design decision-support recommendation model structure and workflow</x:v>
      </x:c>
      <x:c r="C34" s="16" t="str">
        <x:v>Given the PAULUS Design decision-support recommendation model structure and workflow task is implemented, the feature should meet the approved capstone requirements and pass review against its expected behavior.</x:v>
      </x:c>
      <x:c r="D34" s="18" t="n">
        <x:v>0.007916666666666666</x:v>
      </x:c>
      <x:c r="E34" s="16" t="str">
        <x:v>standardized subtask - URL pending</x:v>
      </x:c>
      <x:c r="F34" s="17" t="b">
        <x:v>0</x:v>
      </x:c>
    </x:row>
    <x:row r="35">
      <x:c r="A35" s="16" t="str">
        <x:v>DEV-01</x:v>
      </x:c>
      <x:c r="B35" s="16" t="str">
        <x:v>Implement decision-support recommendation model baseline functionality</x:v>
      </x:c>
      <x:c r="C35" s="16" t="str">
        <x:v>Given the PAULUS Implement decision-support recommendation model baseline functionality task is implemented, the feature should meet the approved capstone requirements and pass review against its expected behavior.</x:v>
      </x:c>
      <x:c r="D35" s="18" t="n">
        <x:v>0.007916666666666666</x:v>
      </x:c>
      <x:c r="E35" s="16" t="str">
        <x:v>standardized subtask - URL pending</x:v>
      </x:c>
      <x:c r="F35" s="17" t="b">
        <x:v>0</x:v>
      </x:c>
    </x:row>
    <x:row r="36">
      <x:c r="A36" s="16" t="str">
        <x:v>TEST-01</x:v>
      </x:c>
      <x:c r="B36" s="16" t="str">
        <x:v>Test decision-support recommendation model behavior and outputs</x:v>
      </x:c>
      <x:c r="C36" s="16" t="str">
        <x:v>Given the PAULUS Test decision-support recommendation model behavior and outputs task is implemented, the feature should meet the approved capstone requirements and pass review against its expected behavior.</x:v>
      </x:c>
      <x:c r="D36" s="18" t="n">
        <x:v>0.007916666666666666</x:v>
      </x:c>
      <x:c r="E36" s="16" t="str">
        <x:v>standardized subtask - URL pending</x:v>
      </x:c>
      <x:c r="F36" s="17" t="b">
        <x:v>0</x:v>
      </x:c>
    </x:row>
    <x:row r="37">
      <x:c r="A37" s="16" t="str">
        <x:v>FIX-01</x:v>
      </x:c>
      <x:c r="B37" s="16" t="str">
        <x:v>Resolve decision-support recommendation model issues</x:v>
      </x:c>
      <x:c r="C37" s="16" t="str">
        <x:v>Given the PAULUS Resolve decision-support recommendation model issues task is implemented, the feature should meet the approved capstone requirements and pass review against its expected behavior.</x:v>
      </x:c>
      <x:c r="D37" s="18" t="n">
        <x:v>0.007916666666666666</x:v>
      </x:c>
      <x:c r="E37" s="16" t="str">
        <x:v>standardized subtask - URL pending</x:v>
      </x:c>
      <x:c r="F37" s="17" t="b">
        <x:v>0</x:v>
      </x:c>
    </x:row>
    <x:row r="38">
      <x:c r="A38" s="16" t="str">
        <x:v>MS-01</x:v>
      </x:c>
      <x:c r="B38" s="16" t="str">
        <x:v>Document decision-support recommendation model in Chapter 4</x:v>
      </x:c>
      <x:c r="C38" s="16" t="str">
        <x:v>Given the PAULUS Document decision-support recommendation model in Chapter 4 task is implemented, the feature should meet the approved capstone requirements and pass review against its expected behavior.</x:v>
      </x:c>
      <x:c r="D38" s="18" t="n">
        <x:v>0.007916666666666666</x:v>
      </x:c>
      <x:c r="E38" s="16" t="str">
        <x:v>standardized subtask - URL pending</x:v>
      </x:c>
      <x:c r="F38" s="17" t="b">
        <x:v>0</x:v>
      </x:c>
    </x:row>
    <x:row r="39">
      <x:c r="A39" s="26" t="str">
        <x:v>Total Accomplished</x:v>
      </x:c>
      <x:c r="B39" s="26" t="str"/>
      <x:c r="C39" s="26" t="str"/>
      <x:c r="D39" s="27" t="n">
        <x:f>SUM(D33:D38)</x:f>
        <x:v>0.0475</x:v>
      </x:c>
      <x:c r="E39" s="27" t="str"/>
      <x:c r="F39" s="27" t="n">
        <x:f>SUMIF(F33:F38, TRUE, D33:D38)</x:f>
        <x:v>0</x:v>
      </x:c>
    </x:row>
    <x:row r="41">
      <x:c r="A41" s="4" t="str">
        <x:v>Task ID</x:v>
      </x:c>
      <x:c r="B41" s="4" t="str">
        <x:v>LITCAL</x:v>
      </x:c>
      <x:c r="C41" s="4" t="str">
        <x:v>Task Name</x:v>
      </x:c>
      <x:c r="D41" s="4" t="str">
        <x:v>Liturgical Calendar Data Pipeline</x:v>
      </x:c>
      <x:c r="E41" s="4" t="str">
        <x:v>ClickUp Status</x:v>
      </x:c>
      <x:c r="F41" s="4" t="str">
        <x:v>for qa / internal testing</x:v>
      </x:c>
    </x:row>
    <x:row r="42">
      <x:c r="A42" s="8" t="str">
        <x:v>Subtask ID</x:v>
      </x:c>
      <x:c r="B42" s="8" t="str">
        <x:v>Subtask / Task Name</x:v>
      </x:c>
      <x:c r="C42" s="8" t="str">
        <x:v>Acceptance Criteria</x:v>
      </x:c>
      <x:c r="D42" s="8" t="str">
        <x:v>Weight Allocation</x:v>
      </x:c>
      <x:c r="E42" s="8" t="str">
        <x:v>ClickUp Status</x:v>
      </x:c>
      <x:c r="F42" s="8" t="str">
        <x:v>Accepted</x:v>
      </x:c>
    </x:row>
    <x:row r="43">
      <x:c r="A43" s="16" t="str">
        <x:v>BUS-01</x:v>
      </x:c>
      <x:c r="B43" s="16" t="str">
        <x:v>Define liturgical calendar data requirements and seasonality use</x:v>
      </x:c>
      <x:c r="C43" s="16" t="str">
        <x:v>Given the PAULUS Define liturgical calendar data requirements and seasonality use task is implemented, the feature should meet the approved capstone requirements and pass review against its expected behavior.</x:v>
      </x:c>
      <x:c r="D43" s="18" t="n">
        <x:v>0.004318181818181817</x:v>
      </x:c>
      <x:c r="E43" s="16" t="str">
        <x:v>planning/backlog</x:v>
      </x:c>
      <x:c r="F43" s="17" t="b">
        <x:v>0</x:v>
      </x:c>
    </x:row>
    <x:row r="44">
      <x:c r="A44" s="16" t="str">
        <x:v>DU-01</x:v>
      </x:c>
      <x:c r="B44" s="16" t="str">
        <x:v>Review liturgical calendar data sources and cross-validators</x:v>
      </x:c>
      <x:c r="C44" s="16" t="str">
        <x:v>Given the PAULUS Review liturgical calendar data sources and cross-validators task is implemented, the feature should meet the approved capstone requirements and pass review against its expected behavior.</x:v>
      </x:c>
      <x:c r="D44" s="18" t="n">
        <x:v>0.004318181818181817</x:v>
      </x:c>
      <x:c r="E44" s="16" t="str">
        <x:v>planning/backlog</x:v>
      </x:c>
      <x:c r="F44" s="17" t="b">
        <x:v>0</x:v>
      </x:c>
    </x:row>
    <x:row r="45">
      <x:c r="A45" s="16" t="str">
        <x:v>SRC-01</x:v>
      </x:c>
      <x:c r="B45" s="16" t="str">
        <x:v>Prepare GCATHOLIC source mapping for liturgical calendar ingestion</x:v>
      </x:c>
      <x:c r="C45" s="16" t="str">
        <x:v>Given the PAULUS Prepare GCATHOLIC source mapping for liturgical calendar ingestion task is implemented, the feature should meet the approved capstone requirements and pass review against its expected behavior.</x:v>
      </x:c>
      <x:c r="D45" s="18" t="n">
        <x:v>0.004318181818181817</x:v>
      </x:c>
      <x:c r="E45" s="16" t="str">
        <x:v>planning/backlog</x:v>
      </x:c>
      <x:c r="F45" s="17" t="b">
        <x:v>0</x:v>
      </x:c>
    </x:row>
    <x:row r="46">
      <x:c r="A46" s="16" t="str">
        <x:v>SRC-02</x:v>
      </x:c>
      <x:c r="B46" s="16" t="str">
        <x:v>Prepare LITCAL source mapping for liturgical calendar ingestion</x:v>
      </x:c>
      <x:c r="C46" s="16" t="str">
        <x:v>Given the PAULUS Prepare LITCAL source mapping for liturgical calendar ingestion task is implemented, the feature should meet the approved capstone requirements and pass review against its expected behavior.</x:v>
      </x:c>
      <x:c r="D46" s="18" t="n">
        <x:v>0.004318181818181817</x:v>
      </x:c>
      <x:c r="E46" s="16" t="str">
        <x:v>planning/backlog</x:v>
      </x:c>
      <x:c r="F46" s="17" t="b">
        <x:v>0</x:v>
      </x:c>
    </x:row>
    <x:row r="47">
      <x:c r="A47" s="16" t="str">
        <x:v>SRC-03</x:v>
      </x:c>
      <x:c r="B47" s="16" t="str">
        <x:v>Prepare ROMCAL source mapping for liturgical calendar ingestion</x:v>
      </x:c>
      <x:c r="C47" s="16" t="str">
        <x:v>Given the PAULUS Prepare ROMCAL source mapping for liturgical calendar ingestion task is implemented, the feature should meet the approved capstone requirements and pass review against its expected behavior.</x:v>
      </x:c>
      <x:c r="D47" s="18" t="n">
        <x:v>0.004318181818181817</x:v>
      </x:c>
      <x:c r="E47" s="16" t="str">
        <x:v>planning/backlog</x:v>
      </x:c>
      <x:c r="F47" s="17" t="b">
        <x:v>0</x:v>
      </x:c>
    </x:row>
    <x:row r="48">
      <x:c r="A48" s="16" t="str">
        <x:v>DP-01</x:v>
      </x:c>
      <x:c r="B48" s="16" t="str">
        <x:v>Build liturgical calendar data ingestion pipeline</x:v>
      </x:c>
      <x:c r="C48" s="16" t="str">
        <x:v>Given the PAULUS Build liturgical calendar data ingestion pipeline task is implemented, the feature should meet the approved capstone requirements and pass review against its expected behavior.</x:v>
      </x:c>
      <x:c r="D48" s="18" t="n">
        <x:v>0.004318181818181817</x:v>
      </x:c>
      <x:c r="E48" s="16" t="str">
        <x:v>planning/backlog</x:v>
      </x:c>
      <x:c r="F48" s="17" t="b">
        <x:v>0</x:v>
      </x:c>
    </x:row>
    <x:row r="49">
      <x:c r="A49" s="16" t="str">
        <x:v>MODEL-01</x:v>
      </x:c>
      <x:c r="B49" s="16" t="str">
        <x:v>Implement calendar validation and cross-check logic</x:v>
      </x:c>
      <x:c r="C49" s="16" t="str">
        <x:v>Given the PAULUS Implement calendar validation and cross-check logic task is implemented, the feature should meet the approved capstone requirements and pass review against its expected behavior.</x:v>
      </x:c>
      <x:c r="D49" s="18" t="n">
        <x:v>0.004318181818181817</x:v>
      </x:c>
      <x:c r="E49" s="16" t="str">
        <x:v>planning/backlog</x:v>
      </x:c>
      <x:c r="F49" s="17" t="b">
        <x:v>0</x:v>
      </x:c>
    </x:row>
    <x:row r="50">
      <x:c r="A50" s="16" t="str">
        <x:v>MODEL-02</x:v>
      </x:c>
      <x:c r="B50" s="16" t="str">
        <x:v>Program future calendar generation using pattern searching</x:v>
      </x:c>
      <x:c r="C50" s="16" t="str">
        <x:v>Given the PAULUS Program future calendar generation using pattern searching task is implemented, the feature should meet the approved capstone requirements and pass review against its expected behavior.</x:v>
      </x:c>
      <x:c r="D50" s="18" t="n">
        <x:v>0.004318181818181817</x:v>
      </x:c>
      <x:c r="E50" s="16" t="str">
        <x:v>planning/backlog</x:v>
      </x:c>
      <x:c r="F50" s="17" t="b">
        <x:v>0</x:v>
      </x:c>
    </x:row>
    <x:row r="51">
      <x:c r="A51" s="16" t="str">
        <x:v>DEP-01</x:v>
      </x:c>
      <x:c r="B51" s="16" t="str">
        <x:v>Load validated liturgical calendar data into database</x:v>
      </x:c>
      <x:c r="C51" s="16" t="str">
        <x:v>Given the PAULUS Load validated liturgical calendar data into database task is implemented, the feature should meet the approved capstone requirements and pass review against its expected behavior.</x:v>
      </x:c>
      <x:c r="D51" s="18" t="n">
        <x:v>0.004318181818181817</x:v>
      </x:c>
      <x:c r="E51" s="16" t="str">
        <x:v>planning/backlog</x:v>
      </x:c>
      <x:c r="F51" s="17" t="b">
        <x:v>0</x:v>
      </x:c>
    </x:row>
    <x:row r="52">
      <x:c r="A52" s="16" t="str">
        <x:v>EVAL-01</x:v>
      </x:c>
      <x:c r="B52" s="16" t="str">
        <x:v>Validate liturgical calendar data accuracy</x:v>
      </x:c>
      <x:c r="C52" s="16" t="str">
        <x:v>Given the PAULUS Validate liturgical calendar data accuracy task is implemented, the feature should meet the approved capstone requirements and pass review against its expected behavior.</x:v>
      </x:c>
      <x:c r="D52" s="18" t="n">
        <x:v>0.004318181818181817</x:v>
      </x:c>
      <x:c r="E52" s="16" t="str">
        <x:v>planning/backlog</x:v>
      </x:c>
      <x:c r="F52" s="17" t="b">
        <x:v>0</x:v>
      </x:c>
    </x:row>
    <x:row r="53">
      <x:c r="A53" s="16" t="str">
        <x:v>MS-01</x:v>
      </x:c>
      <x:c r="B53" s="16" t="str">
        <x:v>Document liturgical calendar pipeline process</x:v>
      </x:c>
      <x:c r="C53" s="16" t="str">
        <x:v>Given the PAULUS Document liturgical calendar pipeline process task is implemented, the feature should meet the approved capstone requirements and pass review against its expected behavior.</x:v>
      </x:c>
      <x:c r="D53" s="18" t="n">
        <x:v>0.004318181818181817</x:v>
      </x:c>
      <x:c r="E53" s="16" t="str">
        <x:v>planning/backlog</x:v>
      </x:c>
      <x:c r="F53" s="17" t="b">
        <x:v>0</x:v>
      </x:c>
    </x:row>
    <x:row r="54">
      <x:c r="A54" s="26" t="str">
        <x:v>Total Accomplished</x:v>
      </x:c>
      <x:c r="B54" s="26" t="str"/>
      <x:c r="C54" s="26" t="str"/>
      <x:c r="D54" s="27" t="n">
        <x:f>SUM(D43:D53)</x:f>
        <x:v>0.047499999999999994</x:v>
      </x:c>
      <x:c r="E54" s="27" t="str"/>
      <x:c r="F54" s="27" t="n">
        <x:f>SUMIF(F43:F53, TRUE, D43:D53)</x:f>
        <x:v>0</x:v>
      </x:c>
    </x:row>
    <x:row r="56">
      <x:c r="A56" s="4" t="str">
        <x:v>Task ID</x:v>
      </x:c>
      <x:c r="B56" s="4" t="str">
        <x:v>WEATHER</x:v>
      </x:c>
      <x:c r="C56" s="4" t="str">
        <x:v>Task Name</x:v>
      </x:c>
      <x:c r="D56" s="4" t="str">
        <x:v>Weather Data Collection Pipeline</x:v>
      </x:c>
      <x:c r="E56" s="4" t="str">
        <x:v>ClickUp Status</x:v>
      </x:c>
      <x:c r="F56" s="4" t="str">
        <x:v>in progress</x:v>
      </x:c>
    </x:row>
    <x:row r="57">
      <x:c r="A57" s="8" t="str">
        <x:v>Subtask ID</x:v>
      </x:c>
      <x:c r="B57" s="8" t="str">
        <x:v>Subtask / Task Name</x:v>
      </x:c>
      <x:c r="C57" s="8" t="str">
        <x:v>Acceptance Criteria</x:v>
      </x:c>
      <x:c r="D57" s="8" t="str">
        <x:v>Weight Allocation</x:v>
      </x:c>
      <x:c r="E57" s="8" t="str">
        <x:v>ClickUp Status</x:v>
      </x:c>
      <x:c r="F57" s="8" t="str">
        <x:v>Accepted</x:v>
      </x:c>
    </x:row>
    <x:row r="58">
      <x:c r="A58" s="16" t="str">
        <x:v>BUS-01</x:v>
      </x:c>
      <x:c r="B58" s="16" t="str">
        <x:v>Define weather data requirements and use in analytics</x:v>
      </x:c>
      <x:c r="C58" s="16" t="str">
        <x:v>Given the PAULUS Define weather data requirements and use in analytics task is implemented, the feature should meet the approved capstone requirements and pass review against its expected behavior.</x:v>
      </x:c>
      <x:c r="D58" s="18" t="n">
        <x:v>0.005277777777777777</x:v>
      </x:c>
      <x:c r="E58" s="16" t="str">
        <x:v>planning/backlog</x:v>
      </x:c>
      <x:c r="F58" s="17" t="b">
        <x:v>0</x:v>
      </x:c>
    </x:row>
    <x:row r="59">
      <x:c r="A59" s="16" t="str">
        <x:v>DU-01</x:v>
      </x:c>
      <x:c r="B59" s="16" t="str">
        <x:v>Review weather data sources and APIs</x:v>
      </x:c>
      <x:c r="C59" s="16" t="str">
        <x:v>Given the PAULUS Review weather data sources and APIs task is implemented, the feature should meet the approved capstone requirements and pass review against its expected behavior.</x:v>
      </x:c>
      <x:c r="D59" s="18" t="n">
        <x:v>0.005277777777777777</x:v>
      </x:c>
      <x:c r="E59" s="16" t="str">
        <x:v>planning/backlog</x:v>
      </x:c>
      <x:c r="F59" s="17" t="b">
        <x:v>0</x:v>
      </x:c>
    </x:row>
    <x:row r="60">
      <x:c r="A60" s="16" t="str">
        <x:v>EXT-01</x:v>
      </x:c>
      <x:c r="B60" s="16" t="str">
        <x:v>Extract weather data from selected source APIs or datasets</x:v>
      </x:c>
      <x:c r="C60" s="16" t="str">
        <x:v>Given the PAULUS Extract weather data from selected source APIs or datasets task is implemented, the feature should meet the approved capstone requirements and pass review against its expected behavior.</x:v>
      </x:c>
      <x:c r="D60" s="18" t="n">
        <x:v>0.005277777777777777</x:v>
      </x:c>
      <x:c r="E60" s="16" t="str">
        <x:v>planning/backlog</x:v>
      </x:c>
      <x:c r="F60" s="17" t="b">
        <x:v>0</x:v>
      </x:c>
    </x:row>
    <x:row r="61">
      <x:c r="A61" s="16" t="str">
        <x:v>DP-01</x:v>
      </x:c>
      <x:c r="B61" s="16" t="str">
        <x:v>Build weather data ingestion pipeline</x:v>
      </x:c>
      <x:c r="C61" s="16" t="str">
        <x:v>Given the PAULUS Build weather data ingestion pipeline task is implemented, the feature should meet the approved capstone requirements and pass review against its expected behavior.</x:v>
      </x:c>
      <x:c r="D61" s="18" t="n">
        <x:v>0.005277777777777777</x:v>
      </x:c>
      <x:c r="E61" s="16" t="str">
        <x:v>planning/backlog</x:v>
      </x:c>
      <x:c r="F61" s="17" t="b">
        <x:v>0</x:v>
      </x:c>
    </x:row>
    <x:row r="62">
      <x:c r="A62" s="16" t="str">
        <x:v>MODEL-01</x:v>
      </x:c>
      <x:c r="B62" s="16" t="str">
        <x:v>Implement weather data validation and cross-check logic</x:v>
      </x:c>
      <x:c r="C62" s="16" t="str">
        <x:v>Given the PAULUS Implement weather data validation and cross-check logic task is implemented, the feature should meet the approved capstone requirements and pass review against its expected behavior.</x:v>
      </x:c>
      <x:c r="D62" s="18" t="n">
        <x:v>0.005277777777777777</x:v>
      </x:c>
      <x:c r="E62" s="16" t="str">
        <x:v>planning/backlog</x:v>
      </x:c>
      <x:c r="F62" s="17" t="b">
        <x:v>0</x:v>
      </x:c>
    </x:row>
    <x:row r="63">
      <x:c r="A63" s="16" t="str">
        <x:v>DEP-01</x:v>
      </x:c>
      <x:c r="B63" s="16" t="str">
        <x:v>Load validated weather data into database</x:v>
      </x:c>
      <x:c r="C63" s="16" t="str">
        <x:v>Given the PAULUS Load validated weather data into database task is implemented, the feature should meet the approved capstone requirements and pass review against its expected behavior.</x:v>
      </x:c>
      <x:c r="D63" s="18" t="n">
        <x:v>0.005277777777777777</x:v>
      </x:c>
      <x:c r="E63" s="16" t="str">
        <x:v>planning/backlog</x:v>
      </x:c>
      <x:c r="F63" s="17" t="b">
        <x:v>0</x:v>
      </x:c>
    </x:row>
    <x:row r="64">
      <x:c r="A64" s="16" t="str">
        <x:v>EVAL-01</x:v>
      </x:c>
      <x:c r="B64" s="16" t="str">
        <x:v>Validate weather data accuracy and completeness</x:v>
      </x:c>
      <x:c r="C64" s="16" t="str">
        <x:v>Given the PAULUS Validate weather data accuracy and completeness task is implemented, the feature should meet the approved capstone requirements and pass review against its expected behavior.</x:v>
      </x:c>
      <x:c r="D64" s="18" t="n">
        <x:v>0.005277777777777777</x:v>
      </x:c>
      <x:c r="E64" s="16" t="str">
        <x:v>planning/backlog</x:v>
      </x:c>
      <x:c r="F64" s="17" t="b">
        <x:v>0</x:v>
      </x:c>
    </x:row>
    <x:row r="65">
      <x:c r="A65" s="16" t="str">
        <x:v>UAT-01</x:v>
      </x:c>
      <x:c r="B65" s="16" t="str">
        <x:v>Validate weather data pipeline with target users</x:v>
      </x:c>
      <x:c r="C65" s="16" t="str">
        <x:v>Given the PAULUS Validate weather data pipeline with target users task is implemented, the feature should meet the approved capstone requirements and pass review against its expected behavior.</x:v>
      </x:c>
      <x:c r="D65" s="18" t="n">
        <x:v>0.005277777777777777</x:v>
      </x:c>
      <x:c r="E65" s="16" t="str">
        <x:v>planning/backlog</x:v>
      </x:c>
      <x:c r="F65" s="17" t="b">
        <x:v>0</x:v>
      </x:c>
    </x:row>
    <x:row r="66">
      <x:c r="A66" s="16" t="str">
        <x:v>MS-01</x:v>
      </x:c>
      <x:c r="B66" s="16" t="str">
        <x:v>Document weather data collection pipeline process</x:v>
      </x:c>
      <x:c r="C66" s="16" t="str">
        <x:v>Given the PAULUS Document weather data collection pipeline process task is implemented, the feature should meet the approved capstone requirements and pass review against its expected behavior.</x:v>
      </x:c>
      <x:c r="D66" s="18" t="n">
        <x:v>0.005277777777777777</x:v>
      </x:c>
      <x:c r="E66" s="16" t="str">
        <x:v>planning/backlog</x:v>
      </x:c>
      <x:c r="F66" s="17" t="b">
        <x:v>0</x:v>
      </x:c>
    </x:row>
    <x:row r="67">
      <x:c r="A67" s="26" t="str">
        <x:v>Total Accomplished</x:v>
      </x:c>
      <x:c r="B67" s="26" t="str"/>
      <x:c r="C67" s="26" t="str"/>
      <x:c r="D67" s="27" t="n">
        <x:f>SUM(D58:D66)</x:f>
        <x:v>0.047499999999999994</x:v>
      </x:c>
      <x:c r="E67" s="27" t="str"/>
      <x:c r="F67" s="27" t="n">
        <x:f>SUMIF(F58:F66, TRUE, D58:D66)</x:f>
        <x:v>0</x:v>
      </x:c>
    </x:row>
    <x:row r="70">
      <x:c r="A70" s="34" t="str">
        <x:v>Module Accomplishment</x:v>
      </x:c>
      <x:c r="B70" s="34" t="str">
        <x:v>MOD-ANA</x:v>
      </x:c>
      <x:c r="C70" s="34" t="str">
        <x:v>Analytics, Models, and Decision Support</x:v>
      </x:c>
      <x:c r="D70" s="35" t="n">
        <x:v>0.285</x:v>
      </x:c>
      <x:c r="E70" s="35" t="str"/>
      <x:c r="F70" s="35" t="n">
        <x:f>SUM('MOD-ANA'!F9,'MOD-ANA'!F19,'MOD-ANA'!F29,'MOD-ANA'!F39,'MOD-ANA'!F54,'MOD-ANA'!F67)</x:f>
        <x:v>0</x:v>
      </x:c>
    </x:row>
  </x:sheetData>
  <x:dataValidations count="6">
    <x:dataValidation type="list" sqref="F3:F8">
      <x:formula1>"TRUE,FALSE"</x:formula1>
    </x:dataValidation>
    <x:dataValidation type="list" sqref="F13:F18">
      <x:formula1>"TRUE,FALSE"</x:formula1>
    </x:dataValidation>
    <x:dataValidation type="list" sqref="F23:F28">
      <x:formula1>"TRUE,FALSE"</x:formula1>
    </x:dataValidation>
    <x:dataValidation type="list" sqref="F33:F38">
      <x:formula1>"TRUE,FALSE"</x:formula1>
    </x:dataValidation>
    <x:dataValidation type="list" sqref="F43:F53">
      <x:formula1>"TRUE,FALSE"</x:formula1>
    </x:dataValidation>
    <x:dataValidation type="list" sqref="F58:F66">
      <x:formula1>"TRUE,FALSE"</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32.5" hidden="0" customWidth="1"/>
    <x:col min="3" max="3" width="53.75" hidden="0" customWidth="1"/>
    <x:col min="4" max="4" width="15" hidden="0" customWidth="1"/>
    <x:col min="5" max="5" width="16.8799991607666" hidden="0" customWidth="1"/>
    <x:col min="6" max="6" width="16.8799991607666" hidden="0" customWidth="1"/>
  </x:cols>
  <x:sheetData>
    <x:row r="1">
      <x:c r="A1" s="4" t="str">
        <x:v>Task ID</x:v>
      </x:c>
      <x:c r="B1" s="4" t="str">
        <x:v>HOST</x:v>
      </x:c>
      <x:c r="C1" s="4" t="str">
        <x:v>Task Name</x:v>
      </x:c>
      <x:c r="D1" s="4" t="str">
        <x:v>Hosting and Deployment Setup</x:v>
      </x:c>
      <x:c r="E1" s="4" t="str">
        <x:v>ClickUp Status</x:v>
      </x:c>
      <x:c r="F1" s="4" t="str">
        <x:v>planning/backlog</x:v>
      </x:c>
    </x:row>
    <x:row r="2">
      <x:c r="A2" s="8" t="str">
        <x:v>Subtask ID</x:v>
      </x:c>
      <x:c r="B2" s="8" t="str">
        <x:v>Subtask / Task Name</x:v>
      </x:c>
      <x:c r="C2" s="8" t="str">
        <x:v>Acceptance Criteria</x:v>
      </x:c>
      <x:c r="D2" s="8" t="str">
        <x:v>Weight Allocation</x:v>
      </x:c>
      <x:c r="E2" s="8" t="str">
        <x:v>ClickUp Status</x:v>
      </x:c>
      <x:c r="F2" s="8" t="str">
        <x:v>Accepted</x:v>
      </x:c>
    </x:row>
    <x:row r="3">
      <x:c r="A3" s="16" t="str">
        <x:v>REQ-01</x:v>
      </x:c>
      <x:c r="B3" s="16" t="str">
        <x:v>Define hosting and deployment setup requirements</x:v>
      </x:c>
      <x:c r="C3" s="16" t="str">
        <x:v>Given the PAULUS Define hosting and deployment setup requirements task is implemented, the feature should meet the approved capstone requirements and pass review against its expected behavior.</x:v>
      </x:c>
      <x:c r="D3" s="18" t="n">
        <x:v>0.004583333333333333</x:v>
      </x:c>
      <x:c r="E3" s="16" t="str">
        <x:v>standardized subtask - URL pending</x:v>
      </x:c>
      <x:c r="F3" s="17" t="b">
        <x:v>0</x:v>
      </x:c>
    </x:row>
    <x:row r="4">
      <x:c r="A4" s="16" t="str">
        <x:v>DES-01</x:v>
      </x:c>
      <x:c r="B4" s="16" t="str">
        <x:v>Design hosting and deployment setup structure and workflow</x:v>
      </x:c>
      <x:c r="C4" s="16" t="str">
        <x:v>Given the PAULUS Design hosting and deployment setup structure and workflow task is implemented, the feature should meet the approved capstone requirements and pass review against its expected behavior.</x:v>
      </x:c>
      <x:c r="D4" s="18" t="n">
        <x:v>0.004583333333333333</x:v>
      </x:c>
      <x:c r="E4" s="16" t="str">
        <x:v>standardized subtask - URL pending</x:v>
      </x:c>
      <x:c r="F4" s="17" t="b">
        <x:v>0</x:v>
      </x:c>
    </x:row>
    <x:row r="5">
      <x:c r="A5" s="16" t="str">
        <x:v>DEV-01</x:v>
      </x:c>
      <x:c r="B5" s="16" t="str">
        <x:v>Implement hosting and deployment setup baseline functionality</x:v>
      </x:c>
      <x:c r="C5" s="16" t="str">
        <x:v>Given the PAULUS Implement hosting and deployment setup baseline functionality task is implemented, the feature should meet the approved capstone requirements and pass review against its expected behavior.</x:v>
      </x:c>
      <x:c r="D5" s="18" t="n">
        <x:v>0.004583333333333333</x:v>
      </x:c>
      <x:c r="E5" s="16" t="str">
        <x:v>standardized subtask - URL pending</x:v>
      </x:c>
      <x:c r="F5" s="17" t="b">
        <x:v>0</x:v>
      </x:c>
    </x:row>
    <x:row r="6">
      <x:c r="A6" s="16" t="str">
        <x:v>TEST-01</x:v>
      </x:c>
      <x:c r="B6" s="16" t="str">
        <x:v>Test hosting and deployment setup behavior and outputs</x:v>
      </x:c>
      <x:c r="C6" s="16" t="str">
        <x:v>Given the PAULUS Test hosting and deployment setup behavior and outputs task is implemented, the feature should meet the approved capstone requirements and pass review against its expected behavior.</x:v>
      </x:c>
      <x:c r="D6" s="18" t="n">
        <x:v>0.004583333333333333</x:v>
      </x:c>
      <x:c r="E6" s="16" t="str">
        <x:v>standardized subtask - URL pending</x:v>
      </x:c>
      <x:c r="F6" s="17" t="b">
        <x:v>0</x:v>
      </x:c>
    </x:row>
    <x:row r="7">
      <x:c r="A7" s="16" t="str">
        <x:v>FIX-01</x:v>
      </x:c>
      <x:c r="B7" s="16" t="str">
        <x:v>Resolve hosting and deployment setup issues</x:v>
      </x:c>
      <x:c r="C7" s="16" t="str">
        <x:v>Given the PAULUS Resolve hosting and deployment setup issues task is implemented, the feature should meet the approved capstone requirements and pass review against its expected behavior.</x:v>
      </x:c>
      <x:c r="D7" s="18" t="n">
        <x:v>0.004583333333333333</x:v>
      </x:c>
      <x:c r="E7" s="16" t="str">
        <x:v>standardized subtask - URL pending</x:v>
      </x:c>
      <x:c r="F7" s="17" t="b">
        <x:v>0</x:v>
      </x:c>
    </x:row>
    <x:row r="8">
      <x:c r="A8" s="16" t="str">
        <x:v>MS-01</x:v>
      </x:c>
      <x:c r="B8" s="16" t="str">
        <x:v>Document hosting and deployment setup in Chapter 4</x:v>
      </x:c>
      <x:c r="C8" s="16" t="str">
        <x:v>Given the PAULUS Document hosting and deployment setup in Chapter 4 task is implemented, the feature should meet the approved capstone requirements and pass review against its expected behavior.</x:v>
      </x:c>
      <x:c r="D8" s="18" t="n">
        <x:v>0.004583333333333333</x:v>
      </x:c>
      <x:c r="E8" s="16" t="str">
        <x:v>standardized subtask - URL pending</x:v>
      </x:c>
      <x:c r="F8" s="17" t="b">
        <x:v>0</x:v>
      </x:c>
    </x:row>
    <x:row r="9">
      <x:c r="A9" s="26" t="str">
        <x:v>Total Accomplished</x:v>
      </x:c>
      <x:c r="B9" s="26" t="str"/>
      <x:c r="C9" s="26" t="str"/>
      <x:c r="D9" s="27" t="n">
        <x:f>SUM(D3:D8)</x:f>
        <x:v>0.027500000000000004</x:v>
      </x:c>
      <x:c r="E9" s="27" t="str"/>
      <x:c r="F9" s="27" t="n">
        <x:f>SUMIF(F3:F8, TRUE, D3:D8)</x:f>
        <x:v>0</x:v>
      </x:c>
    </x:row>
    <x:row r="11">
      <x:c r="A11" s="4" t="str">
        <x:v>Task ID</x:v>
      </x:c>
      <x:c r="B11" s="4" t="str">
        <x:v>UAT</x:v>
      </x:c>
      <x:c r="C11" s="4" t="str">
        <x:v>Task Name</x:v>
      </x:c>
      <x:c r="D11" s="4" t="str">
        <x:v>User Acceptance Testing and Final Validation</x:v>
      </x:c>
      <x:c r="E11" s="4" t="str">
        <x:v>ClickUp Status</x:v>
      </x:c>
      <x:c r="F11" s="4" t="str">
        <x:v>planning/backlog</x:v>
      </x:c>
    </x:row>
    <x:row r="12">
      <x:c r="A12" s="8" t="str">
        <x:v>Subtask ID</x:v>
      </x:c>
      <x:c r="B12" s="8" t="str">
        <x:v>Subtask / Task Name</x:v>
      </x:c>
      <x:c r="C12" s="8" t="str">
        <x:v>Acceptance Criteria</x:v>
      </x:c>
      <x:c r="D12" s="8" t="str">
        <x:v>Weight Allocation</x:v>
      </x:c>
      <x:c r="E12" s="8" t="str">
        <x:v>ClickUp Status</x:v>
      </x:c>
      <x:c r="F12" s="8" t="str">
        <x:v>Accepted</x:v>
      </x:c>
    </x:row>
    <x:row r="13">
      <x:c r="A13" s="16" t="str">
        <x:v>REQ-01</x:v>
      </x:c>
      <x:c r="B13" s="16" t="str">
        <x:v>Define user acceptance testing and final validation requirements</x:v>
      </x:c>
      <x:c r="C13" s="16" t="str">
        <x:v>Given the PAULUS Define user acceptance testing and final validation requirements task is implemented, the feature should meet the approved capstone requirements and pass review against its expected behavior.</x:v>
      </x:c>
      <x:c r="D13" s="18" t="n">
        <x:v>0.004583333333333333</x:v>
      </x:c>
      <x:c r="E13" s="16" t="str">
        <x:v>standardized subtask - URL pending</x:v>
      </x:c>
      <x:c r="F13" s="17" t="b">
        <x:v>0</x:v>
      </x:c>
    </x:row>
    <x:row r="14">
      <x:c r="A14" s="16" t="str">
        <x:v>DES-01</x:v>
      </x:c>
      <x:c r="B14" s="16" t="str">
        <x:v>Design user acceptance testing and final validation structure and workflow</x:v>
      </x:c>
      <x:c r="C14" s="16" t="str">
        <x:v>Given the PAULUS Design user acceptance testing and final validation structure and workflow task is implemented, the feature should meet the approved capstone requirements and pass review against its expected behavior.</x:v>
      </x:c>
      <x:c r="D14" s="18" t="n">
        <x:v>0.004583333333333333</x:v>
      </x:c>
      <x:c r="E14" s="16" t="str">
        <x:v>standardized subtask - URL pending</x:v>
      </x:c>
      <x:c r="F14" s="17" t="b">
        <x:v>0</x:v>
      </x:c>
    </x:row>
    <x:row r="15">
      <x:c r="A15" s="16" t="str">
        <x:v>DEV-01</x:v>
      </x:c>
      <x:c r="B15" s="16" t="str">
        <x:v>Implement user acceptance testing and final validation baseline functionality</x:v>
      </x:c>
      <x:c r="C15" s="16" t="str">
        <x:v>Given the PAULUS Implement user acceptance testing and final validation baseline functionality task is implemented, the feature should meet the approved capstone requirements and pass review against its expected behavior.</x:v>
      </x:c>
      <x:c r="D15" s="18" t="n">
        <x:v>0.004583333333333333</x:v>
      </x:c>
      <x:c r="E15" s="16" t="str">
        <x:v>standardized subtask - URL pending</x:v>
      </x:c>
      <x:c r="F15" s="17" t="b">
        <x:v>0</x:v>
      </x:c>
    </x:row>
    <x:row r="16">
      <x:c r="A16" s="16" t="str">
        <x:v>TEST-01</x:v>
      </x:c>
      <x:c r="B16" s="16" t="str">
        <x:v>Test user acceptance testing and final validation behavior and outputs</x:v>
      </x:c>
      <x:c r="C16" s="16" t="str">
        <x:v>Given the PAULUS Test user acceptance testing and final validation behavior and outputs task is implemented, the feature should meet the approved capstone requirements and pass review against its expected behavior.</x:v>
      </x:c>
      <x:c r="D16" s="18" t="n">
        <x:v>0.004583333333333333</x:v>
      </x:c>
      <x:c r="E16" s="16" t="str">
        <x:v>standardized subtask - URL pending</x:v>
      </x:c>
      <x:c r="F16" s="17" t="b">
        <x:v>0</x:v>
      </x:c>
    </x:row>
    <x:row r="17">
      <x:c r="A17" s="16" t="str">
        <x:v>FIX-01</x:v>
      </x:c>
      <x:c r="B17" s="16" t="str">
        <x:v>Resolve user acceptance testing and final validation issues</x:v>
      </x:c>
      <x:c r="C17" s="16" t="str">
        <x:v>Given the PAULUS Resolve user acceptance testing and final validation issues task is implemented, the feature should meet the approved capstone requirements and pass review against its expected behavior.</x:v>
      </x:c>
      <x:c r="D17" s="18" t="n">
        <x:v>0.004583333333333333</x:v>
      </x:c>
      <x:c r="E17" s="16" t="str">
        <x:v>standardized subtask - URL pending</x:v>
      </x:c>
      <x:c r="F17" s="17" t="b">
        <x:v>0</x:v>
      </x:c>
    </x:row>
    <x:row r="18">
      <x:c r="A18" s="16" t="str">
        <x:v>MS-01</x:v>
      </x:c>
      <x:c r="B18" s="16" t="str">
        <x:v>Document user acceptance testing and final validation in Chapter 4</x:v>
      </x:c>
      <x:c r="C18" s="16" t="str">
        <x:v>Given the PAULUS Document user acceptance testing and final validation in Chapter 4 task is implemented, the feature should meet the approved capstone requirements and pass review against its expected behavior.</x:v>
      </x:c>
      <x:c r="D18" s="18" t="n">
        <x:v>0.004583333333333333</x:v>
      </x:c>
      <x:c r="E18" s="16" t="str">
        <x:v>standardized subtask - URL pending</x:v>
      </x:c>
      <x:c r="F18" s="17" t="b">
        <x:v>0</x:v>
      </x:c>
    </x:row>
    <x:row r="19">
      <x:c r="A19" s="26" t="str">
        <x:v>Total Accomplished</x:v>
      </x:c>
      <x:c r="B19" s="26" t="str"/>
      <x:c r="C19" s="26" t="str"/>
      <x:c r="D19" s="27" t="n">
        <x:f>SUM(D13:D18)</x:f>
        <x:v>0.027500000000000004</x:v>
      </x:c>
      <x:c r="E19" s="27" t="str"/>
      <x:c r="F19" s="27" t="n">
        <x:f>SUMIF(F13:F18, TRUE, D13:D18)</x:f>
        <x:v>0</x:v>
      </x:c>
    </x:row>
    <x:row r="22">
      <x:c r="A22" s="34" t="str">
        <x:v>Module Accomplishment</x:v>
      </x:c>
      <x:c r="B22" s="34" t="str">
        <x:v>CORE</x:v>
      </x:c>
      <x:c r="C22" s="34" t="str">
        <x:v>Hosting, Repository, and Project Management</x:v>
      </x:c>
      <x:c r="D22" s="35" t="n">
        <x:v>0.055</x:v>
      </x:c>
      <x:c r="E22" s="35" t="str"/>
      <x:c r="F22" s="35" t="n">
        <x:f>SUM('CORE'!F9,'CORE'!F19)</x:f>
        <x:v>0</x:v>
      </x:c>
    </x:row>
  </x:sheetData>
  <x:dataValidations count="2">
    <x:dataValidation type="list" sqref="F3:F8">
      <x:formula1>"TRUE,FALSE"</x:formula1>
    </x:dataValidation>
    <x:dataValidation type="list" sqref="F13:F18">
      <x:formula1>"TRUE,FALSE"</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32.5" hidden="0" customWidth="1"/>
    <x:col min="3" max="3" width="53.75" hidden="0" customWidth="1"/>
    <x:col min="4" max="4" width="15" hidden="0" customWidth="1"/>
    <x:col min="5" max="5" width="16.8799991607666" hidden="0" customWidth="1"/>
    <x:col min="6" max="6" width="16.8799991607666" hidden="0" customWidth="1"/>
  </x:cols>
  <x:sheetData>
    <x:row r="1">
      <x:c r="A1" s="4" t="str">
        <x:v>Task ID</x:v>
      </x:c>
      <x:c r="B1" s="4" t="str">
        <x:v>MS-01</x:v>
      </x:c>
      <x:c r="C1" s="4" t="str">
        <x:v>Task Name</x:v>
      </x:c>
      <x:c r="D1" s="4" t="str">
        <x:v>Revise Chapter 3 methodology to Agile Kanban</x:v>
      </x:c>
      <x:c r="E1" s="4" t="str">
        <x:v>ClickUp Status</x:v>
      </x:c>
      <x:c r="F1" s="4" t="str">
        <x:v>in progress</x:v>
      </x:c>
    </x:row>
    <x:row r="2">
      <x:c r="A2" s="8" t="str">
        <x:v>Subtask ID</x:v>
      </x:c>
      <x:c r="B2" s="8" t="str">
        <x:v>Subtask / Task Name</x:v>
      </x:c>
      <x:c r="C2" s="8" t="str">
        <x:v>Acceptance Criteria</x:v>
      </x:c>
      <x:c r="D2" s="8" t="str">
        <x:v>Weight Allocation</x:v>
      </x:c>
      <x:c r="E2" s="8" t="str">
        <x:v>ClickUp Status</x:v>
      </x:c>
      <x:c r="F2" s="8" t="str">
        <x:v>Accepted</x:v>
      </x:c>
    </x:row>
    <x:row r="3">
      <x:c r="A3" s="16" t="str">
        <x:v>REQ-01</x:v>
      </x:c>
      <x:c r="B3" s="16" t="str">
        <x:v>Define Chapter 1 manuscript content requirements</x:v>
      </x:c>
      <x:c r="C3" s="16" t="str">
        <x:v>Given the PAULUS Define Chapter 1 manuscript content requirements task is implemented, the feature should meet the approved capstone requirements and pass review against its expected behavior.</x:v>
      </x:c>
      <x:c r="D3" s="18" t="n">
        <x:v>0.002777777777777778</x:v>
      </x:c>
      <x:c r="E3" s="16" t="str">
        <x:v>standardized subtask - URL pending</x:v>
      </x:c>
      <x:c r="F3" s="17" t="b">
        <x:v>0</x:v>
      </x:c>
    </x:row>
    <x:row r="4">
      <x:c r="A4" s="16" t="str">
        <x:v>DES-01</x:v>
      </x:c>
      <x:c r="B4" s="16" t="str">
        <x:v>Design Chapter 1 manuscript content structure and workflow</x:v>
      </x:c>
      <x:c r="C4" s="16" t="str">
        <x:v>Given the PAULUS Design Chapter 1 manuscript content structure and workflow task is implemented, the feature should meet the approved capstone requirements and pass review against its expected behavior.</x:v>
      </x:c>
      <x:c r="D4" s="18" t="n">
        <x:v>0.002777777777777778</x:v>
      </x:c>
      <x:c r="E4" s="16" t="str">
        <x:v>standardized subtask - URL pending</x:v>
      </x:c>
      <x:c r="F4" s="17" t="b">
        <x:v>0</x:v>
      </x:c>
    </x:row>
    <x:row r="5">
      <x:c r="A5" s="16" t="str">
        <x:v>DEV-01</x:v>
      </x:c>
      <x:c r="B5" s="16" t="str">
        <x:v>Implement Chapter 1 manuscript content baseline functionality</x:v>
      </x:c>
      <x:c r="C5" s="16" t="str">
        <x:v>Given the PAULUS Implement Chapter 1 manuscript content baseline functionality task is implemented, the feature should meet the approved capstone requirements and pass review against its expected behavior.</x:v>
      </x:c>
      <x:c r="D5" s="18" t="n">
        <x:v>0.002777777777777778</x:v>
      </x:c>
      <x:c r="E5" s="16" t="str">
        <x:v>standardized subtask - URL pending</x:v>
      </x:c>
      <x:c r="F5" s="17" t="b">
        <x:v>0</x:v>
      </x:c>
    </x:row>
    <x:row r="6">
      <x:c r="A6" s="16" t="str">
        <x:v>TEST-01</x:v>
      </x:c>
      <x:c r="B6" s="16" t="str">
        <x:v>Test Chapter 1 manuscript content behavior and outputs</x:v>
      </x:c>
      <x:c r="C6" s="16" t="str">
        <x:v>Given the PAULUS Test Chapter 1 manuscript content behavior and outputs task is implemented, the feature should meet the approved capstone requirements and pass review against its expected behavior.</x:v>
      </x:c>
      <x:c r="D6" s="18" t="n">
        <x:v>0.002777777777777778</x:v>
      </x:c>
      <x:c r="E6" s="16" t="str">
        <x:v>standardized subtask - URL pending</x:v>
      </x:c>
      <x:c r="F6" s="17" t="b">
        <x:v>0</x:v>
      </x:c>
    </x:row>
    <x:row r="7">
      <x:c r="A7" s="16" t="str">
        <x:v>FIX-01</x:v>
      </x:c>
      <x:c r="B7" s="16" t="str">
        <x:v>Resolve Chapter 1 manuscript content issues</x:v>
      </x:c>
      <x:c r="C7" s="16" t="str">
        <x:v>Given the PAULUS Resolve Chapter 1 manuscript content issues task is implemented, the feature should meet the approved capstone requirements and pass review against its expected behavior.</x:v>
      </x:c>
      <x:c r="D7" s="18" t="n">
        <x:v>0.002777777777777778</x:v>
      </x:c>
      <x:c r="E7" s="16" t="str">
        <x:v>standardized subtask - URL pending</x:v>
      </x:c>
      <x:c r="F7" s="17" t="b">
        <x:v>0</x:v>
      </x:c>
    </x:row>
    <x:row r="8">
      <x:c r="A8" s="16" t="str">
        <x:v>MS-01</x:v>
      </x:c>
      <x:c r="B8" s="16" t="str">
        <x:v>Document Chapter 1 manuscript content in Chapter 1</x:v>
      </x:c>
      <x:c r="C8" s="16" t="str">
        <x:v>Given the PAULUS Document Chapter 1 manuscript content in Chapter 1 task is implemented, the feature should meet the approved capstone requirements and pass review against its expected behavior.</x:v>
      </x:c>
      <x:c r="D8" s="18" t="n">
        <x:v>0.002777777777777778</x:v>
      </x:c>
      <x:c r="E8" s="16" t="str">
        <x:v>standardized subtask - URL pending</x:v>
      </x:c>
      <x:c r="F8" s="17" t="b">
        <x:v>0</x:v>
      </x:c>
    </x:row>
    <x:row r="9">
      <x:c r="A9" s="26" t="str">
        <x:v>Total Accomplished</x:v>
      </x:c>
      <x:c r="B9" s="26" t="str"/>
      <x:c r="C9" s="26" t="str"/>
      <x:c r="D9" s="27" t="n">
        <x:f>SUM(D3:D8)</x:f>
        <x:v>0.016666666666666666</x:v>
      </x:c>
      <x:c r="E9" s="27" t="str"/>
      <x:c r="F9" s="27" t="n">
        <x:f>SUMIF(F3:F8, TRUE, D3:D8)</x:f>
        <x:v>0</x:v>
      </x:c>
    </x:row>
    <x:row r="11">
      <x:c r="A11" s="4" t="str">
        <x:v>Task ID</x:v>
      </x:c>
      <x:c r="B11" s="4" t="str">
        <x:v>MS-02</x:v>
      </x:c>
      <x:c r="C11" s="4" t="str">
        <x:v>Task Name</x:v>
      </x:c>
      <x:c r="D11" s="4" t="str">
        <x:v>Add Kanban literature in Chapter 2</x:v>
      </x:c>
      <x:c r="E11" s="4" t="str">
        <x:v>ClickUp Status</x:v>
      </x:c>
      <x:c r="F11" s="4" t="str">
        <x:v>for qa / internal testing</x:v>
      </x:c>
    </x:row>
    <x:row r="12">
      <x:c r="A12" s="8" t="str">
        <x:v>Subtask ID</x:v>
      </x:c>
      <x:c r="B12" s="8" t="str">
        <x:v>Subtask / Task Name</x:v>
      </x:c>
      <x:c r="C12" s="8" t="str">
        <x:v>Acceptance Criteria</x:v>
      </x:c>
      <x:c r="D12" s="8" t="str">
        <x:v>Weight Allocation</x:v>
      </x:c>
      <x:c r="E12" s="8" t="str">
        <x:v>ClickUp Status</x:v>
      </x:c>
      <x:c r="F12" s="8" t="str">
        <x:v>Accepted</x:v>
      </x:c>
    </x:row>
    <x:row r="13">
      <x:c r="A13" s="16" t="str">
        <x:v>REQ-01</x:v>
      </x:c>
      <x:c r="B13" s="16" t="str">
        <x:v>Define Chapter 2 manuscript content requirements</x:v>
      </x:c>
      <x:c r="C13" s="16" t="str">
        <x:v>Given the PAULUS Define Chapter 2 manuscript content requirements task is implemented, the feature should meet the approved capstone requirements and pass review against its expected behavior.</x:v>
      </x:c>
      <x:c r="D13" s="18" t="n">
        <x:v>0.002777777777777778</x:v>
      </x:c>
      <x:c r="E13" s="16" t="str">
        <x:v>standardized subtask - URL pending</x:v>
      </x:c>
      <x:c r="F13" s="17" t="b">
        <x:v>0</x:v>
      </x:c>
    </x:row>
    <x:row r="14">
      <x:c r="A14" s="16" t="str">
        <x:v>DES-01</x:v>
      </x:c>
      <x:c r="B14" s="16" t="str">
        <x:v>Design Chapter 2 manuscript content structure and workflow</x:v>
      </x:c>
      <x:c r="C14" s="16" t="str">
        <x:v>Given the PAULUS Design Chapter 2 manuscript content structure and workflow task is implemented, the feature should meet the approved capstone requirements and pass review against its expected behavior.</x:v>
      </x:c>
      <x:c r="D14" s="18" t="n">
        <x:v>0.002777777777777778</x:v>
      </x:c>
      <x:c r="E14" s="16" t="str">
        <x:v>standardized subtask - URL pending</x:v>
      </x:c>
      <x:c r="F14" s="17" t="b">
        <x:v>0</x:v>
      </x:c>
    </x:row>
    <x:row r="15">
      <x:c r="A15" s="16" t="str">
        <x:v>DEV-01</x:v>
      </x:c>
      <x:c r="B15" s="16" t="str">
        <x:v>Implement Chapter 2 manuscript content baseline functionality</x:v>
      </x:c>
      <x:c r="C15" s="16" t="str">
        <x:v>Given the PAULUS Implement Chapter 2 manuscript content baseline functionality task is implemented, the feature should meet the approved capstone requirements and pass review against its expected behavior.</x:v>
      </x:c>
      <x:c r="D15" s="18" t="n">
        <x:v>0.002777777777777778</x:v>
      </x:c>
      <x:c r="E15" s="16" t="str">
        <x:v>standardized subtask - URL pending</x:v>
      </x:c>
      <x:c r="F15" s="17" t="b">
        <x:v>0</x:v>
      </x:c>
    </x:row>
    <x:row r="16">
      <x:c r="A16" s="16" t="str">
        <x:v>TEST-01</x:v>
      </x:c>
      <x:c r="B16" s="16" t="str">
        <x:v>Test Chapter 2 manuscript content behavior and outputs</x:v>
      </x:c>
      <x:c r="C16" s="16" t="str">
        <x:v>Given the PAULUS Test Chapter 2 manuscript content behavior and outputs task is implemented, the feature should meet the approved capstone requirements and pass review against its expected behavior.</x:v>
      </x:c>
      <x:c r="D16" s="18" t="n">
        <x:v>0.002777777777777778</x:v>
      </x:c>
      <x:c r="E16" s="16" t="str">
        <x:v>standardized subtask - URL pending</x:v>
      </x:c>
      <x:c r="F16" s="17" t="b">
        <x:v>0</x:v>
      </x:c>
    </x:row>
    <x:row r="17">
      <x:c r="A17" s="16" t="str">
        <x:v>FIX-01</x:v>
      </x:c>
      <x:c r="B17" s="16" t="str">
        <x:v>Resolve Chapter 2 manuscript content issues</x:v>
      </x:c>
      <x:c r="C17" s="16" t="str">
        <x:v>Given the PAULUS Resolve Chapter 2 manuscript content issues task is implemented, the feature should meet the approved capstone requirements and pass review against its expected behavior.</x:v>
      </x:c>
      <x:c r="D17" s="18" t="n">
        <x:v>0.002777777777777778</x:v>
      </x:c>
      <x:c r="E17" s="16" t="str">
        <x:v>standardized subtask - URL pending</x:v>
      </x:c>
      <x:c r="F17" s="17" t="b">
        <x:v>0</x:v>
      </x:c>
    </x:row>
    <x:row r="18">
      <x:c r="A18" s="16" t="str">
        <x:v>MS-01</x:v>
      </x:c>
      <x:c r="B18" s="16" t="str">
        <x:v>Document Chapter 2 manuscript content in Chapter 2</x:v>
      </x:c>
      <x:c r="C18" s="16" t="str">
        <x:v>Given the PAULUS Document Chapter 2 manuscript content in Chapter 2 task is implemented, the feature should meet the approved capstone requirements and pass review against its expected behavior.</x:v>
      </x:c>
      <x:c r="D18" s="18" t="n">
        <x:v>0.002777777777777778</x:v>
      </x:c>
      <x:c r="E18" s="16" t="str">
        <x:v>standardized subtask - URL pending</x:v>
      </x:c>
      <x:c r="F18" s="17" t="b">
        <x:v>0</x:v>
      </x:c>
    </x:row>
    <x:row r="19">
      <x:c r="A19" s="26" t="str">
        <x:v>Total Accomplished</x:v>
      </x:c>
      <x:c r="B19" s="26" t="str"/>
      <x:c r="C19" s="26" t="str"/>
      <x:c r="D19" s="27" t="n">
        <x:f>SUM(D13:D18)</x:f>
        <x:v>0.016666666666666666</x:v>
      </x:c>
      <x:c r="E19" s="27" t="str"/>
      <x:c r="F19" s="27" t="n">
        <x:f>SUMIF(F13:F18, TRUE, D13:D18)</x:f>
        <x:v>0</x:v>
      </x:c>
    </x:row>
    <x:row r="21">
      <x:c r="A21" s="4" t="str">
        <x:v>Task ID</x:v>
      </x:c>
      <x:c r="B21" s="4" t="str">
        <x:v>MS-03</x:v>
      </x:c>
      <x:c r="C21" s="4" t="str">
        <x:v>Task Name</x:v>
      </x:c>
      <x:c r="D21" s="4" t="str">
        <x:v>Add ClickUp tool discussion in Chapter 2</x:v>
      </x:c>
      <x:c r="E21" s="4" t="str">
        <x:v>ClickUp Status</x:v>
      </x:c>
      <x:c r="F21" s="4" t="str">
        <x:v>for qa / internal testing</x:v>
      </x:c>
    </x:row>
    <x:row r="22">
      <x:c r="A22" s="8" t="str">
        <x:v>Subtask ID</x:v>
      </x:c>
      <x:c r="B22" s="8" t="str">
        <x:v>Subtask / Task Name</x:v>
      </x:c>
      <x:c r="C22" s="8" t="str">
        <x:v>Acceptance Criteria</x:v>
      </x:c>
      <x:c r="D22" s="8" t="str">
        <x:v>Weight Allocation</x:v>
      </x:c>
      <x:c r="E22" s="8" t="str">
        <x:v>ClickUp Status</x:v>
      </x:c>
      <x:c r="F22" s="8" t="str">
        <x:v>Accepted</x:v>
      </x:c>
    </x:row>
    <x:row r="23">
      <x:c r="A23" s="16" t="str">
        <x:v>REQ-01</x:v>
      </x:c>
      <x:c r="B23" s="16" t="str">
        <x:v>Define Chapter 3 manuscript content requirements</x:v>
      </x:c>
      <x:c r="C23" s="16" t="str">
        <x:v>Given the PAULUS Define Chapter 3 manuscript content requirements task is implemented, the feature should meet the approved capstone requirements and pass review against its expected behavior.</x:v>
      </x:c>
      <x:c r="D23" s="18" t="n">
        <x:v>0.002777777777777778</x:v>
      </x:c>
      <x:c r="E23" s="16" t="str">
        <x:v>standardized subtask - URL pending</x:v>
      </x:c>
      <x:c r="F23" s="17" t="b">
        <x:v>0</x:v>
      </x:c>
    </x:row>
    <x:row r="24">
      <x:c r="A24" s="16" t="str">
        <x:v>DES-01</x:v>
      </x:c>
      <x:c r="B24" s="16" t="str">
        <x:v>Design Chapter 3 manuscript content structure and workflow</x:v>
      </x:c>
      <x:c r="C24" s="16" t="str">
        <x:v>Given the PAULUS Design Chapter 3 manuscript content structure and workflow task is implemented, the feature should meet the approved capstone requirements and pass review against its expected behavior.</x:v>
      </x:c>
      <x:c r="D24" s="18" t="n">
        <x:v>0.002777777777777778</x:v>
      </x:c>
      <x:c r="E24" s="16" t="str">
        <x:v>standardized subtask - URL pending</x:v>
      </x:c>
      <x:c r="F24" s="17" t="b">
        <x:v>0</x:v>
      </x:c>
    </x:row>
    <x:row r="25">
      <x:c r="A25" s="16" t="str">
        <x:v>DEV-01</x:v>
      </x:c>
      <x:c r="B25" s="16" t="str">
        <x:v>Implement Chapter 3 manuscript content baseline functionality</x:v>
      </x:c>
      <x:c r="C25" s="16" t="str">
        <x:v>Given the PAULUS Implement Chapter 3 manuscript content baseline functionality task is implemented, the feature should meet the approved capstone requirements and pass review against its expected behavior.</x:v>
      </x:c>
      <x:c r="D25" s="18" t="n">
        <x:v>0.002777777777777778</x:v>
      </x:c>
      <x:c r="E25" s="16" t="str">
        <x:v>standardized subtask - URL pending</x:v>
      </x:c>
      <x:c r="F25" s="17" t="b">
        <x:v>0</x:v>
      </x:c>
    </x:row>
    <x:row r="26">
      <x:c r="A26" s="16" t="str">
        <x:v>TEST-01</x:v>
      </x:c>
      <x:c r="B26" s="16" t="str">
        <x:v>Test Chapter 3 manuscript content behavior and outputs</x:v>
      </x:c>
      <x:c r="C26" s="16" t="str">
        <x:v>Given the PAULUS Test Chapter 3 manuscript content behavior and outputs task is implemented, the feature should meet the approved capstone requirements and pass review against its expected behavior.</x:v>
      </x:c>
      <x:c r="D26" s="18" t="n">
        <x:v>0.002777777777777778</x:v>
      </x:c>
      <x:c r="E26" s="16" t="str">
        <x:v>standardized subtask - URL pending</x:v>
      </x:c>
      <x:c r="F26" s="17" t="b">
        <x:v>0</x:v>
      </x:c>
    </x:row>
    <x:row r="27">
      <x:c r="A27" s="16" t="str">
        <x:v>FIX-01</x:v>
      </x:c>
      <x:c r="B27" s="16" t="str">
        <x:v>Resolve Chapter 3 manuscript content issues</x:v>
      </x:c>
      <x:c r="C27" s="16" t="str">
        <x:v>Given the PAULUS Resolve Chapter 3 manuscript content issues task is implemented, the feature should meet the approved capstone requirements and pass review against its expected behavior.</x:v>
      </x:c>
      <x:c r="D27" s="18" t="n">
        <x:v>0.002777777777777778</x:v>
      </x:c>
      <x:c r="E27" s="16" t="str">
        <x:v>standardized subtask - URL pending</x:v>
      </x:c>
      <x:c r="F27" s="17" t="b">
        <x:v>0</x:v>
      </x:c>
    </x:row>
    <x:row r="28">
      <x:c r="A28" s="16" t="str">
        <x:v>MS-01</x:v>
      </x:c>
      <x:c r="B28" s="16" t="str">
        <x:v>Document Chapter 3 manuscript content in Chapter 3</x:v>
      </x:c>
      <x:c r="C28" s="16" t="str">
        <x:v>Given the PAULUS Document Chapter 3 manuscript content in Chapter 3 task is implemented, the feature should meet the approved capstone requirements and pass review against its expected behavior.</x:v>
      </x:c>
      <x:c r="D28" s="18" t="n">
        <x:v>0.002777777777777778</x:v>
      </x:c>
      <x:c r="E28" s="16" t="str">
        <x:v>standardized subtask - URL pending</x:v>
      </x:c>
      <x:c r="F28" s="17" t="b">
        <x:v>0</x:v>
      </x:c>
    </x:row>
    <x:row r="29">
      <x:c r="A29" s="26" t="str">
        <x:v>Total Accomplished</x:v>
      </x:c>
      <x:c r="B29" s="26" t="str"/>
      <x:c r="C29" s="26" t="str"/>
      <x:c r="D29" s="27" t="n">
        <x:f>SUM(D23:D28)</x:f>
        <x:v>0.016666666666666666</x:v>
      </x:c>
      <x:c r="E29" s="27" t="str"/>
      <x:c r="F29" s="27" t="n">
        <x:f>SUMIF(F23:F28, TRUE, D23:D28)</x:f>
        <x:v>0</x:v>
      </x:c>
    </x:row>
    <x:row r="31">
      <x:c r="A31" s="4" t="str">
        <x:v>Task ID</x:v>
      </x:c>
      <x:c r="B31" s="4" t="str">
        <x:v>MS-04</x:v>
      </x:c>
      <x:c r="C31" s="4" t="str">
        <x:v>Task Name</x:v>
      </x:c>
      <x:c r="D31" s="4" t="str">
        <x:v>Draft Chapter 4 results and testing discussion</x:v>
      </x:c>
      <x:c r="E31" s="4" t="str">
        <x:v>ClickUp Status</x:v>
      </x:c>
      <x:c r="F31" s="4" t="str">
        <x:v>planning/backlog</x:v>
      </x:c>
    </x:row>
    <x:row r="32">
      <x:c r="A32" s="8" t="str">
        <x:v>Subtask ID</x:v>
      </x:c>
      <x:c r="B32" s="8" t="str">
        <x:v>Subtask / Task Name</x:v>
      </x:c>
      <x:c r="C32" s="8" t="str">
        <x:v>Acceptance Criteria</x:v>
      </x:c>
      <x:c r="D32" s="8" t="str">
        <x:v>Weight Allocation</x:v>
      </x:c>
      <x:c r="E32" s="8" t="str">
        <x:v>ClickUp Status</x:v>
      </x:c>
      <x:c r="F32" s="8" t="str">
        <x:v>Accepted</x:v>
      </x:c>
    </x:row>
    <x:row r="33">
      <x:c r="A33" s="16" t="str">
        <x:v>REQ-01</x:v>
      </x:c>
      <x:c r="B33" s="16" t="str">
        <x:v>Define Chapter 4 manuscript content requirements</x:v>
      </x:c>
      <x:c r="C33" s="16" t="str">
        <x:v>Given the PAULUS Define Chapter 4 manuscript content requirements task is implemented, the feature should meet the approved capstone requirements and pass review against its expected behavior.</x:v>
      </x:c>
      <x:c r="D33" s="18" t="n">
        <x:v>0.002777777777777778</x:v>
      </x:c>
      <x:c r="E33" s="16" t="str">
        <x:v>standardized subtask - URL pending</x:v>
      </x:c>
      <x:c r="F33" s="17" t="b">
        <x:v>0</x:v>
      </x:c>
    </x:row>
    <x:row r="34">
      <x:c r="A34" s="16" t="str">
        <x:v>DES-01</x:v>
      </x:c>
      <x:c r="B34" s="16" t="str">
        <x:v>Design Chapter 4 manuscript content structure and workflow</x:v>
      </x:c>
      <x:c r="C34" s="16" t="str">
        <x:v>Given the PAULUS Design Chapter 4 manuscript content structure and workflow task is implemented, the feature should meet the approved capstone requirements and pass review against its expected behavior.</x:v>
      </x:c>
      <x:c r="D34" s="18" t="n">
        <x:v>0.002777777777777778</x:v>
      </x:c>
      <x:c r="E34" s="16" t="str">
        <x:v>standardized subtask - URL pending</x:v>
      </x:c>
      <x:c r="F34" s="17" t="b">
        <x:v>0</x:v>
      </x:c>
    </x:row>
    <x:row r="35">
      <x:c r="A35" s="16" t="str">
        <x:v>DEV-01</x:v>
      </x:c>
      <x:c r="B35" s="16" t="str">
        <x:v>Implement Chapter 4 manuscript content baseline functionality</x:v>
      </x:c>
      <x:c r="C35" s="16" t="str">
        <x:v>Given the PAULUS Implement Chapter 4 manuscript content baseline functionality task is implemented, the feature should meet the approved capstone requirements and pass review against its expected behavior.</x:v>
      </x:c>
      <x:c r="D35" s="18" t="n">
        <x:v>0.002777777777777778</x:v>
      </x:c>
      <x:c r="E35" s="16" t="str">
        <x:v>standardized subtask - URL pending</x:v>
      </x:c>
      <x:c r="F35" s="17" t="b">
        <x:v>0</x:v>
      </x:c>
    </x:row>
    <x:row r="36">
      <x:c r="A36" s="16" t="str">
        <x:v>TEST-01</x:v>
      </x:c>
      <x:c r="B36" s="16" t="str">
        <x:v>Test Chapter 4 manuscript content behavior and outputs</x:v>
      </x:c>
      <x:c r="C36" s="16" t="str">
        <x:v>Given the PAULUS Test Chapter 4 manuscript content behavior and outputs task is implemented, the feature should meet the approved capstone requirements and pass review against its expected behavior.</x:v>
      </x:c>
      <x:c r="D36" s="18" t="n">
        <x:v>0.002777777777777778</x:v>
      </x:c>
      <x:c r="E36" s="16" t="str">
        <x:v>standardized subtask - URL pending</x:v>
      </x:c>
      <x:c r="F36" s="17" t="b">
        <x:v>0</x:v>
      </x:c>
    </x:row>
    <x:row r="37">
      <x:c r="A37" s="16" t="str">
        <x:v>FIX-01</x:v>
      </x:c>
      <x:c r="B37" s="16" t="str">
        <x:v>Resolve Chapter 4 manuscript content issues</x:v>
      </x:c>
      <x:c r="C37" s="16" t="str">
        <x:v>Given the PAULUS Resolve Chapter 4 manuscript content issues task is implemented, the feature should meet the approved capstone requirements and pass review against its expected behavior.</x:v>
      </x:c>
      <x:c r="D37" s="18" t="n">
        <x:v>0.002777777777777778</x:v>
      </x:c>
      <x:c r="E37" s="16" t="str">
        <x:v>standardized subtask - URL pending</x:v>
      </x:c>
      <x:c r="F37" s="17" t="b">
        <x:v>0</x:v>
      </x:c>
    </x:row>
    <x:row r="38">
      <x:c r="A38" s="16" t="str">
        <x:v>MS-01</x:v>
      </x:c>
      <x:c r="B38" s="16" t="str">
        <x:v>Document Chapter 4 manuscript content in Chapter 4</x:v>
      </x:c>
      <x:c r="C38" s="16" t="str">
        <x:v>Given the PAULUS Document Chapter 4 manuscript content in Chapter 4 task is implemented, the feature should meet the approved capstone requirements and pass review against its expected behavior.</x:v>
      </x:c>
      <x:c r="D38" s="18" t="n">
        <x:v>0.002777777777777778</x:v>
      </x:c>
      <x:c r="E38" s="16" t="str">
        <x:v>standardized subtask - URL pending</x:v>
      </x:c>
      <x:c r="F38" s="17" t="b">
        <x:v>0</x:v>
      </x:c>
    </x:row>
    <x:row r="39">
      <x:c r="A39" s="26" t="str">
        <x:v>Total Accomplished</x:v>
      </x:c>
      <x:c r="B39" s="26" t="str"/>
      <x:c r="C39" s="26" t="str"/>
      <x:c r="D39" s="27" t="n">
        <x:f>SUM(D33:D38)</x:f>
        <x:v>0.016666666666666666</x:v>
      </x:c>
      <x:c r="E39" s="27" t="str"/>
      <x:c r="F39" s="27" t="n">
        <x:f>SUMIF(F33:F38, TRUE, D33:D38)</x:f>
        <x:v>0</x:v>
      </x:c>
    </x:row>
    <x:row r="41">
      <x:c r="A41" s="4" t="str">
        <x:v>Task ID</x:v>
      </x:c>
      <x:c r="B41" s="4" t="str">
        <x:v>MS-05</x:v>
      </x:c>
      <x:c r="C41" s="4" t="str">
        <x:v>Task Name</x:v>
      </x:c>
      <x:c r="D41" s="4" t="str">
        <x:v>Draft Chapter 5 conclusions and recommendations</x:v>
      </x:c>
      <x:c r="E41" s="4" t="str">
        <x:v>ClickUp Status</x:v>
      </x:c>
      <x:c r="F41" s="4" t="str">
        <x:v>planning/backlog</x:v>
      </x:c>
    </x:row>
    <x:row r="42">
      <x:c r="A42" s="8" t="str">
        <x:v>Subtask ID</x:v>
      </x:c>
      <x:c r="B42" s="8" t="str">
        <x:v>Subtask / Task Name</x:v>
      </x:c>
      <x:c r="C42" s="8" t="str">
        <x:v>Acceptance Criteria</x:v>
      </x:c>
      <x:c r="D42" s="8" t="str">
        <x:v>Weight Allocation</x:v>
      </x:c>
      <x:c r="E42" s="8" t="str">
        <x:v>ClickUp Status</x:v>
      </x:c>
      <x:c r="F42" s="8" t="str">
        <x:v>Accepted</x:v>
      </x:c>
    </x:row>
    <x:row r="43">
      <x:c r="A43" s="16" t="str">
        <x:v>REQ-01</x:v>
      </x:c>
      <x:c r="B43" s="16" t="str">
        <x:v>Define Chapter 5 manuscript content requirements</x:v>
      </x:c>
      <x:c r="C43" s="16" t="str">
        <x:v>Given the PAULUS Define Chapter 5 manuscript content requirements task is implemented, the feature should meet the approved capstone requirements and pass review against its expected behavior.</x:v>
      </x:c>
      <x:c r="D43" s="18" t="n">
        <x:v>0.002777777777777778</x:v>
      </x:c>
      <x:c r="E43" s="16" t="str">
        <x:v>standardized subtask - URL pending</x:v>
      </x:c>
      <x:c r="F43" s="17" t="b">
        <x:v>0</x:v>
      </x:c>
    </x:row>
    <x:row r="44">
      <x:c r="A44" s="16" t="str">
        <x:v>DES-01</x:v>
      </x:c>
      <x:c r="B44" s="16" t="str">
        <x:v>Design Chapter 5 manuscript content structure and workflow</x:v>
      </x:c>
      <x:c r="C44" s="16" t="str">
        <x:v>Given the PAULUS Design Chapter 5 manuscript content structure and workflow task is implemented, the feature should meet the approved capstone requirements and pass review against its expected behavior.</x:v>
      </x:c>
      <x:c r="D44" s="18" t="n">
        <x:v>0.002777777777777778</x:v>
      </x:c>
      <x:c r="E44" s="16" t="str">
        <x:v>standardized subtask - URL pending</x:v>
      </x:c>
      <x:c r="F44" s="17" t="b">
        <x:v>0</x:v>
      </x:c>
    </x:row>
    <x:row r="45">
      <x:c r="A45" s="16" t="str">
        <x:v>DEV-01</x:v>
      </x:c>
      <x:c r="B45" s="16" t="str">
        <x:v>Implement Chapter 5 manuscript content baseline functionality</x:v>
      </x:c>
      <x:c r="C45" s="16" t="str">
        <x:v>Given the PAULUS Implement Chapter 5 manuscript content baseline functionality task is implemented, the feature should meet the approved capstone requirements and pass review against its expected behavior.</x:v>
      </x:c>
      <x:c r="D45" s="18" t="n">
        <x:v>0.002777777777777778</x:v>
      </x:c>
      <x:c r="E45" s="16" t="str">
        <x:v>standardized subtask - URL pending</x:v>
      </x:c>
      <x:c r="F45" s="17" t="b">
        <x:v>0</x:v>
      </x:c>
    </x:row>
    <x:row r="46">
      <x:c r="A46" s="16" t="str">
        <x:v>TEST-01</x:v>
      </x:c>
      <x:c r="B46" s="16" t="str">
        <x:v>Test Chapter 5 manuscript content behavior and outputs</x:v>
      </x:c>
      <x:c r="C46" s="16" t="str">
        <x:v>Given the PAULUS Test Chapter 5 manuscript content behavior and outputs task is implemented, the feature should meet the approved capstone requirements and pass review against its expected behavior.</x:v>
      </x:c>
      <x:c r="D46" s="18" t="n">
        <x:v>0.002777777777777778</x:v>
      </x:c>
      <x:c r="E46" s="16" t="str">
        <x:v>standardized subtask - URL pending</x:v>
      </x:c>
      <x:c r="F46" s="17" t="b">
        <x:v>0</x:v>
      </x:c>
    </x:row>
    <x:row r="47">
      <x:c r="A47" s="16" t="str">
        <x:v>FIX-01</x:v>
      </x:c>
      <x:c r="B47" s="16" t="str">
        <x:v>Resolve Chapter 5 manuscript content issues</x:v>
      </x:c>
      <x:c r="C47" s="16" t="str">
        <x:v>Given the PAULUS Resolve Chapter 5 manuscript content issues task is implemented, the feature should meet the approved capstone requirements and pass review against its expected behavior.</x:v>
      </x:c>
      <x:c r="D47" s="18" t="n">
        <x:v>0.002777777777777778</x:v>
      </x:c>
      <x:c r="E47" s="16" t="str">
        <x:v>standardized subtask - URL pending</x:v>
      </x:c>
      <x:c r="F47" s="17" t="b">
        <x:v>0</x:v>
      </x:c>
    </x:row>
    <x:row r="48">
      <x:c r="A48" s="16" t="str">
        <x:v>MS-01</x:v>
      </x:c>
      <x:c r="B48" s="16" t="str">
        <x:v>Document Chapter 5 manuscript content in Chapter 5</x:v>
      </x:c>
      <x:c r="C48" s="16" t="str">
        <x:v>Given the PAULUS Document Chapter 5 manuscript content in Chapter 5 task is implemented, the feature should meet the approved capstone requirements and pass review against its expected behavior.</x:v>
      </x:c>
      <x:c r="D48" s="18" t="n">
        <x:v>0.002777777777777778</x:v>
      </x:c>
      <x:c r="E48" s="16" t="str">
        <x:v>standardized subtask - URL pending</x:v>
      </x:c>
      <x:c r="F48" s="17" t="b">
        <x:v>0</x:v>
      </x:c>
    </x:row>
    <x:row r="49">
      <x:c r="A49" s="26" t="str">
        <x:v>Total Accomplished</x:v>
      </x:c>
      <x:c r="B49" s="26" t="str"/>
      <x:c r="C49" s="26" t="str"/>
      <x:c r="D49" s="27" t="n">
        <x:f>SUM(D43:D48)</x:f>
        <x:v>0.016666666666666666</x:v>
      </x:c>
      <x:c r="E49" s="27" t="str"/>
      <x:c r="F49" s="27" t="n">
        <x:f>SUMIF(F43:F48, TRUE, D43:D48)</x:f>
        <x:v>0</x:v>
      </x:c>
    </x:row>
    <x:row r="51">
      <x:c r="A51" s="4" t="str">
        <x:v>Task ID</x:v>
      </x:c>
      <x:c r="B51" s="4" t="str">
        <x:v>MS-06</x:v>
      </x:c>
      <x:c r="C51" s="4" t="str">
        <x:v>Task Name</x:v>
      </x:c>
      <x:c r="D51" s="4" t="str">
        <x:v>Compile appendix materials and supporting evidence</x:v>
      </x:c>
      <x:c r="E51" s="4" t="str">
        <x:v>ClickUp Status</x:v>
      </x:c>
      <x:c r="F51" s="4" t="str">
        <x:v>planning/backlog</x:v>
      </x:c>
    </x:row>
    <x:row r="52">
      <x:c r="A52" s="8" t="str">
        <x:v>Subtask ID</x:v>
      </x:c>
      <x:c r="B52" s="8" t="str">
        <x:v>Subtask / Task Name</x:v>
      </x:c>
      <x:c r="C52" s="8" t="str">
        <x:v>Acceptance Criteria</x:v>
      </x:c>
      <x:c r="D52" s="8" t="str">
        <x:v>Weight Allocation</x:v>
      </x:c>
      <x:c r="E52" s="8" t="str">
        <x:v>ClickUp Status</x:v>
      </x:c>
      <x:c r="F52" s="8" t="str">
        <x:v>Accepted</x:v>
      </x:c>
    </x:row>
    <x:row r="53">
      <x:c r="A53" s="16" t="str">
        <x:v>REQ-01</x:v>
      </x:c>
      <x:c r="B53" s="16" t="str">
        <x:v>Define appendix materials and supporting evidence requirements</x:v>
      </x:c>
      <x:c r="C53" s="16" t="str">
        <x:v>Given the PAULUS Define appendix materials and supporting evidence requirements task is implemented, the feature should meet the approved capstone requirements and pass review against its expected behavior.</x:v>
      </x:c>
      <x:c r="D53" s="18" t="n">
        <x:v>0.002777777777777778</x:v>
      </x:c>
      <x:c r="E53" s="16" t="str">
        <x:v>standardized subtask - URL pending</x:v>
      </x:c>
      <x:c r="F53" s="17" t="b">
        <x:v>0</x:v>
      </x:c>
    </x:row>
    <x:row r="54">
      <x:c r="A54" s="16" t="str">
        <x:v>DES-01</x:v>
      </x:c>
      <x:c r="B54" s="16" t="str">
        <x:v>Design appendix materials and supporting evidence structure and workflow</x:v>
      </x:c>
      <x:c r="C54" s="16" t="str">
        <x:v>Given the PAULUS Design appendix materials and supporting evidence structure and workflow task is implemented, the feature should meet the approved capstone requirements and pass review against its expected behavior.</x:v>
      </x:c>
      <x:c r="D54" s="18" t="n">
        <x:v>0.002777777777777778</x:v>
      </x:c>
      <x:c r="E54" s="16" t="str">
        <x:v>standardized subtask - URL pending</x:v>
      </x:c>
      <x:c r="F54" s="17" t="b">
        <x:v>0</x:v>
      </x:c>
    </x:row>
    <x:row r="55">
      <x:c r="A55" s="16" t="str">
        <x:v>DEV-01</x:v>
      </x:c>
      <x:c r="B55" s="16" t="str">
        <x:v>Implement appendix materials and supporting evidence baseline functionality</x:v>
      </x:c>
      <x:c r="C55" s="16" t="str">
        <x:v>Given the PAULUS Implement appendix materials and supporting evidence baseline functionality task is implemented, the feature should meet the approved capstone requirements and pass review against its expected behavior.</x:v>
      </x:c>
      <x:c r="D55" s="18" t="n">
        <x:v>0.002777777777777778</x:v>
      </x:c>
      <x:c r="E55" s="16" t="str">
        <x:v>standardized subtask - URL pending</x:v>
      </x:c>
      <x:c r="F55" s="17" t="b">
        <x:v>0</x:v>
      </x:c>
    </x:row>
    <x:row r="56">
      <x:c r="A56" s="16" t="str">
        <x:v>TEST-01</x:v>
      </x:c>
      <x:c r="B56" s="16" t="str">
        <x:v>Test appendix materials and supporting evidence behavior and outputs</x:v>
      </x:c>
      <x:c r="C56" s="16" t="str">
        <x:v>Given the PAULUS Test appendix materials and supporting evidence behavior and outputs task is implemented, the feature should meet the approved capstone requirements and pass review against its expected behavior.</x:v>
      </x:c>
      <x:c r="D56" s="18" t="n">
        <x:v>0.002777777777777778</x:v>
      </x:c>
      <x:c r="E56" s="16" t="str">
        <x:v>standardized subtask - URL pending</x:v>
      </x:c>
      <x:c r="F56" s="17" t="b">
        <x:v>0</x:v>
      </x:c>
    </x:row>
    <x:row r="57">
      <x:c r="A57" s="16" t="str">
        <x:v>FIX-01</x:v>
      </x:c>
      <x:c r="B57" s="16" t="str">
        <x:v>Resolve appendix materials and supporting evidence issues</x:v>
      </x:c>
      <x:c r="C57" s="16" t="str">
        <x:v>Given the PAULUS Resolve appendix materials and supporting evidence issues task is implemented, the feature should meet the approved capstone requirements and pass review against its expected behavior.</x:v>
      </x:c>
      <x:c r="D57" s="18" t="n">
        <x:v>0.002777777777777778</x:v>
      </x:c>
      <x:c r="E57" s="16" t="str">
        <x:v>standardized subtask - URL pending</x:v>
      </x:c>
      <x:c r="F57" s="17" t="b">
        <x:v>0</x:v>
      </x:c>
    </x:row>
    <x:row r="58">
      <x:c r="A58" s="16" t="str">
        <x:v>MS-01</x:v>
      </x:c>
      <x:c r="B58" s="16" t="str">
        <x:v>Document appendix materials and supporting evidence in appendices</x:v>
      </x:c>
      <x:c r="C58" s="16" t="str">
        <x:v>Given the PAULUS Document appendix materials and supporting evidence in appendices task is implemented, the feature should meet the approved capstone requirements and pass review against its expected behavior.</x:v>
      </x:c>
      <x:c r="D58" s="18" t="n">
        <x:v>0.002777777777777778</x:v>
      </x:c>
      <x:c r="E58" s="16" t="str">
        <x:v>standardized subtask - URL pending</x:v>
      </x:c>
      <x:c r="F58" s="17" t="b">
        <x:v>0</x:v>
      </x:c>
    </x:row>
    <x:row r="59">
      <x:c r="A59" s="26" t="str">
        <x:v>Total Accomplished</x:v>
      </x:c>
      <x:c r="B59" s="26" t="str"/>
      <x:c r="C59" s="26" t="str"/>
      <x:c r="D59" s="27" t="n">
        <x:f>SUM(D53:D58)</x:f>
        <x:v>0.016666666666666666</x:v>
      </x:c>
      <x:c r="E59" s="27" t="str"/>
      <x:c r="F59" s="27" t="n">
        <x:f>SUMIF(F53:F58, TRUE, D53:D58)</x:f>
        <x:v>0</x:v>
      </x:c>
    </x:row>
    <x:row r="62">
      <x:c r="A62" s="34" t="str">
        <x:v>Module Accomplishment</x:v>
      </x:c>
      <x:c r="B62" s="34" t="str">
        <x:v>MANUSCRIPT</x:v>
      </x:c>
      <x:c r="C62" s="34" t="str">
        <x:v>Manuscript and Documentation</x:v>
      </x:c>
      <x:c r="D62" s="35" t="n">
        <x:v>0.1</x:v>
      </x:c>
      <x:c r="E62" s="35" t="str"/>
      <x:c r="F62" s="35" t="n">
        <x:f>SUM('MANUSCRIPT'!F9,'MANUSCRIPT'!F19,'MANUSCRIPT'!F29,'MANUSCRIPT'!F39,'MANUSCRIPT'!F49,'MANUSCRIPT'!F59)</x:f>
        <x:v>0</x:v>
      </x:c>
    </x:row>
  </x:sheetData>
  <x:dataValidations count="6">
    <x:dataValidation type="list" sqref="F3:F8">
      <x:formula1>"TRUE,FALSE"</x:formula1>
    </x:dataValidation>
    <x:dataValidation type="list" sqref="F13:F18">
      <x:formula1>"TRUE,FALSE"</x:formula1>
    </x:dataValidation>
    <x:dataValidation type="list" sqref="F23:F28">
      <x:formula1>"TRUE,FALSE"</x:formula1>
    </x:dataValidation>
    <x:dataValidation type="list" sqref="F33:F38">
      <x:formula1>"TRUE,FALSE"</x:formula1>
    </x:dataValidation>
    <x:dataValidation type="list" sqref="F43:F48">
      <x:formula1>"TRUE,FALSE"</x:formula1>
    </x:dataValidation>
    <x:dataValidation type="list" sqref="F53:F58">
      <x:formula1>"TRUE,FALSE"</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2" max="2" width="18.75" hidden="0" customWidth="1"/>
    <x:col min="3" max="3" width="26.25" hidden="0" customWidth="1"/>
    <x:col min="4" max="4" width="26.25" hidden="0" customWidth="1"/>
    <x:col min="5" max="5" width="26.25" hidden="0" customWidth="1"/>
    <x:col min="6" max="6" width="26.25" hidden="0" customWidth="1"/>
  </x:cols>
  <x:sheetData>
    <x:row r="2">
      <x:c r="B2" s="4" t="str">
        <x:v>PAULUS Acceptance Criteria Tracker</x:v>
      </x:c>
      <x:c r="C2" s="4" t="str"/>
      <x:c r="D2" s="4" t="str"/>
      <x:c r="E2" s="4" t="str"/>
      <x:c r="F2" s="4" t="str"/>
    </x:row>
    <x:row r="4">
      <x:c r="B4" s="16" t="str">
        <x:v>Source</x:v>
      </x:c>
      <x:c r="C4" s="16" t="str">
        <x:v>Built from ClickUp tasks under the PAULUS space fetched on 2026-06-15.</x:v>
      </x:c>
      <x:c r="D4" s="16" t="str"/>
      <x:c r="E4" s="16" t="str"/>
      <x:c r="F4" s="16" t="str"/>
    </x:row>
    <x:row r="5">
      <x:c r="B5" s="16" t="str">
        <x:v>Structure</x:v>
      </x:c>
      <x:c r="C5" s="16" t="str">
        <x:v>Workbook keeps the ClickUp module/task grouping and includes task URLs for traceability.</x:v>
      </x:c>
      <x:c r="D5" s="16" t="str"/>
      <x:c r="E5" s="16" t="str"/>
      <x:c r="F5" s="16" t="str"/>
    </x:row>
    <x:row r="6">
      <x:c r="B6" s="16" t="str">
        <x:v>Accepted</x:v>
      </x:c>
      <x:c r="C6" s="16" t="str">
        <x:v>Use the Accepted column to mark formal acceptance. ClickUp Status is preserved separately.</x:v>
      </x:c>
      <x:c r="D6" s="16" t="str"/>
      <x:c r="E6" s="16" t="str"/>
      <x:c r="F6" s="16" t="str"/>
    </x:row>
    <x:row r="7">
      <x:c r="B7" s="16" t="str">
        <x:v>Formula</x:v>
      </x:c>
      <x:c r="C7" s="16" t="str">
        <x:v>Actual accomplishment uses SUMIF over accepted TRUE values and task weight allocations.</x:v>
      </x:c>
      <x:c r="D7" s="16" t="str"/>
      <x:c r="E7" s="16" t="str"/>
      <x:c r="F7" s="16" t="str"/>
    </x:row>
    <x:row r="8">
      <x:c r="B8" s="16" t="str">
        <x:v>Google Sheets</x:v>
      </x:c>
      <x:c r="C8" s="16" t="str">
        <x:v>Formulas use SUM and SUMIF so they should import cleanly into Google Sheets.</x:v>
      </x:c>
      <x:c r="D8" s="16" t="str"/>
      <x:c r="E8" s="16" t="str"/>
      <x:c r="F8" s="16" t="str"/>
    </x:row>
  </x:sheetData>
  <x:mergeCells>
    <x:mergeCell ref="B2:F2"/>
  </x:mergeCells>
  <x:pageMargins left="0.7" right="0.7" top="0.75" bottom="0.75" header="0.3" footer="0.3"/>
</x:worksheet>
</file>