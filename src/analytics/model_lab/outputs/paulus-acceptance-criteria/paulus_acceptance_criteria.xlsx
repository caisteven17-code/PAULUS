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8caa9bcbbb45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STRIBUTION" sheetId="1" r:id="R2e9d61f4f98047b8"/>
    <x:sheet xmlns:r="http://schemas.openxmlformats.org/officeDocument/2006/relationships" name="MOD-FE" sheetId="2" r:id="Re8aca44d654d4386"/>
    <x:sheet xmlns:r="http://schemas.openxmlformats.org/officeDocument/2006/relationships" name="MOD-BE" sheetId="3" r:id="Rfc74358d0c82402b"/>
    <x:sheet xmlns:r="http://schemas.openxmlformats.org/officeDocument/2006/relationships" name="MOD-DB" sheetId="4" r:id="R3ee769fd52654e8d"/>
    <x:sheet xmlns:r="http://schemas.openxmlformats.org/officeDocument/2006/relationships" name="MOD-ANA" sheetId="5" r:id="Rebddbae6b958410a"/>
    <x:sheet xmlns:r="http://schemas.openxmlformats.org/officeDocument/2006/relationships" name="CORE" sheetId="6" r:id="R12d72e1a9c204acf"/>
    <x:sheet xmlns:r="http://schemas.openxmlformats.org/officeDocument/2006/relationships" name="MANUSCRIPT" sheetId="7" r:id="R558203a54b8d4f1b"/>
    <x:sheet xmlns:r="http://schemas.openxmlformats.org/officeDocument/2006/relationships" name="README" sheetId="8" r:id="Ref5c4c3a58f345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%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F2933"/>
      <x:name val="Carlito"/>
    </x:font>
    <x:font>
      <x:sz val="11"/>
      <x:color rgb="FF1F2933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FFF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0" xfId="0" applyNumberFormat="1" applyFont="1" applyFill="1" applyBorder="1"/>
    <x:xf numFmtId="0" fontId="3" fillId="4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1" xfId="0" applyNumberFormat="1" applyFont="1" applyFill="1" applyBorder="1"/>
    <x:xf numFmtId="0" fontId="3" fillId="4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3" fillId="4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0" fontId="0" fillId="5" borderId="0" xfId="0" applyNumberFormat="1" applyFont="1" applyFill="1" applyBorder="1"/>
    <x:xf numFmtId="200" fontId="0" fillId="5" borderId="0" xfId="0" applyNumberFormat="1" applyFont="1" applyFill="1" applyBorder="1"/>
    <x:xf numFmtId="0" fontId="2" fillId="5" borderId="0" xfId="0" applyNumberFormat="1" applyFont="1" applyFill="1" applyBorder="1"/>
    <x:xf numFmtId="200" fontId="2" fillId="5" borderId="0" xfId="0" applyNumberFormat="1" applyFont="1" applyFill="1" applyBorder="1"/>
    <x:xf numFmtId="0" fontId="2" fillId="5" borderId="1" xfId="0" applyNumberFormat="1" applyFont="1" applyFill="1" applyBorder="1"/>
    <x:xf numFmtId="20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wrapText="1"/>
    </x:xf>
    <x:xf numFmtId="200" fontId="2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200" fontId="0" fillId="6" borderId="0" xfId="0" applyNumberFormat="1" applyFont="1" applyFill="1" applyBorder="1"/>
    <x:xf numFmtId="0" fontId="2" fillId="6" borderId="0" xfId="0" applyNumberFormat="1" applyFont="1" applyFill="1" applyBorder="1"/>
    <x:xf numFmtId="200" fontId="2" fillId="6" borderId="0" xfId="0" applyNumberFormat="1" applyFont="1" applyFill="1" applyBorder="1"/>
    <x:xf numFmtId="0" fontId="2" fillId="6" borderId="1" xfId="0" applyNumberFormat="1" applyFont="1" applyFill="1" applyBorder="1"/>
    <x:xf numFmtId="200" fontId="2" fillId="6" borderId="1" xfId="0" applyNumberFormat="1" applyFont="1" applyFill="1" applyBorder="1"/>
    <x:xf numFmtId="0" fontId="2" fillId="6" borderId="1" xfId="0" applyNumberFormat="1" applyFont="1" applyFill="1" applyBorder="1" applyAlignment="1">
      <x:alignment wrapText="1"/>
    </x:xf>
    <x:xf numFmtId="200" fontId="2" fillId="6" borderId="1" xfId="0" applyNumberFormat="1" applyFont="1" applyFill="1" applyBorder="1" applyAlignment="1">
      <x:alignment wrapText="1"/>
    </x:xf>
    <x:xf numFmtId="200" fontId="0" fillId="4" borderId="0" xfId="0" applyNumberFormat="1" applyFont="1" applyFill="1" applyBorder="1"/>
    <x:xf numFmtId="200" fontId="3" fillId="4" borderId="0" xfId="0" applyNumberFormat="1" applyFont="1" applyFill="1" applyBorder="1"/>
    <x:xf numFmtId="200" fontId="3" fillId="4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3ae494e4174159" /><Relationship Type="http://schemas.openxmlformats.org/officeDocument/2006/relationships/theme" Target="/xl/theme/theme1.xml" Id="R393d2c18f83b4e14" /><Relationship Type="http://schemas.microsoft.com/office/2022/11/relationships/FeaturePropertyBag" Target="/xl/featurePropertyBag/featurePropertyBag.xml" Id="R6bbee417c21a44b5" /><Relationship Type="http://schemas.openxmlformats.org/officeDocument/2006/relationships/sharedStrings" Target="/xl/sharedStrings.xml" Id="Ra7506ca500da463b" /><Relationship Type="http://schemas.openxmlformats.org/officeDocument/2006/relationships/worksheet" Target="/xl/worksheets/sheet1.xml" Id="R2e9d61f4f98047b8" /><Relationship Type="http://schemas.openxmlformats.org/officeDocument/2006/relationships/worksheet" Target="/xl/worksheets/sheet2.xml" Id="Re8aca44d654d4386" /><Relationship Type="http://schemas.openxmlformats.org/officeDocument/2006/relationships/worksheet" Target="/xl/worksheets/sheet3.xml" Id="Rfc74358d0c82402b" /><Relationship Type="http://schemas.openxmlformats.org/officeDocument/2006/relationships/worksheet" Target="/xl/worksheets/sheet4.xml" Id="R3ee769fd52654e8d" /><Relationship Type="http://schemas.openxmlformats.org/officeDocument/2006/relationships/worksheet" Target="/xl/worksheets/sheet5.xml" Id="Rebddbae6b958410a" /><Relationship Type="http://schemas.openxmlformats.org/officeDocument/2006/relationships/worksheet" Target="/xl/worksheets/sheet6.xml" Id="R12d72e1a9c204acf" /><Relationship Type="http://schemas.openxmlformats.org/officeDocument/2006/relationships/worksheet" Target="/xl/worksheets/sheet7.xml" Id="R558203a54b8d4f1b" /><Relationship Type="http://schemas.openxmlformats.org/officeDocument/2006/relationships/worksheet" Target="/xl/worksheets/sheet8.xml" Id="Ref5c4c3a58f3452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17.5" hidden="0" customWidth="1"/>
    <x:col min="3" max="3" width="42.5" hidden="0" customWidth="1"/>
    <x:col min="4" max="4" width="20" hidden="0" customWidth="1"/>
    <x:col min="5" max="5" width="20" hidden="0" customWidth="1"/>
    <x:col min="6" max="6" width="20" hidden="0" customWidth="1"/>
  </x:cols>
  <x:sheetData>
    <x:row r="2">
      <x:c r="B2" s="4" t="str">
        <x:v>Module Code</x:v>
      </x:c>
      <x:c r="C2" s="4" t="str">
        <x:v>Module Description</x:v>
      </x:c>
      <x:c r="D2" s="4" t="str">
        <x:v>ClickUp Task Count</x:v>
      </x:c>
      <x:c r="E2" s="4" t="str">
        <x:v>System Weight Allocation</x:v>
      </x:c>
      <x:c r="F2" s="4" t="str">
        <x:v>Actual Accomplishment</x:v>
      </x:c>
    </x:row>
    <x:row r="3">
      <x:c r="B3" s="16" t="str">
        <x:v>MOD-FE</x:v>
      </x:c>
      <x:c r="C3" s="16" t="str">
        <x:v>Frontend User Interface</x:v>
      </x:c>
      <x:c r="D3" s="16" t="n">
        <x:v>20</x:v>
      </x:c>
      <x:c r="E3" s="18" t="n">
        <x:v>0.245</x:v>
      </x:c>
      <x:c r="F3" s="18" t="n">
        <x:f>'MOD-FE'!G128</x:f>
        <x:v>0</x:v>
      </x:c>
    </x:row>
    <x:row r="4">
      <x:c r="B4" s="16" t="str">
        <x:v>MOD-BE</x:v>
      </x:c>
      <x:c r="C4" s="16" t="str">
        <x:v>Backend and API Services</x:v>
      </x:c>
      <x:c r="D4" s="16" t="n">
        <x:v>16</x:v>
      </x:c>
      <x:c r="E4" s="18" t="n">
        <x:v>0.235</x:v>
      </x:c>
      <x:c r="F4" s="18" t="n">
        <x:f>'MOD-BE'!G82</x:f>
        <x:v>0</x:v>
      </x:c>
    </x:row>
    <x:row r="5">
      <x:c r="B5" s="16" t="str">
        <x:v>MOD-DB</x:v>
      </x:c>
      <x:c r="C5" s="16" t="str">
        <x:v>Database, ETL, and Storage Layers</x:v>
      </x:c>
      <x:c r="D5" s="16" t="n">
        <x:v>10</x:v>
      </x:c>
      <x:c r="E5" s="18" t="n">
        <x:v>0.08</x:v>
      </x:c>
      <x:c r="F5" s="18" t="n">
        <x:f>'MOD-DB'!G54</x:f>
        <x:v>0</x:v>
      </x:c>
    </x:row>
    <x:row r="6">
      <x:c r="B6" s="16" t="str">
        <x:v>MOD-ANA</x:v>
      </x:c>
      <x:c r="C6" s="16" t="str">
        <x:v>Analytics, Models, and Decision Support</x:v>
      </x:c>
      <x:c r="D6" s="16" t="n">
        <x:v>6</x:v>
      </x:c>
      <x:c r="E6" s="18" t="n">
        <x:v>0.285</x:v>
      </x:c>
      <x:c r="F6" s="18" t="n">
        <x:f>'MOD-ANA'!G50</x:f>
        <x:v>0</x:v>
      </x:c>
    </x:row>
    <x:row r="7">
      <x:c r="B7" s="16" t="str">
        <x:v>CORE</x:v>
      </x:c>
      <x:c r="C7" s="16" t="str">
        <x:v>Hosting, Repository, and Project Management</x:v>
      </x:c>
      <x:c r="D7" s="16" t="n">
        <x:v>2</x:v>
      </x:c>
      <x:c r="E7" s="18" t="n">
        <x:v>0.055</x:v>
      </x:c>
      <x:c r="F7" s="18" t="n">
        <x:f>'CORE'!G12</x:f>
        <x:v>0</x:v>
      </x:c>
    </x:row>
    <x:row r="8">
      <x:c r="B8" s="16" t="str">
        <x:v>MANUSCRIPT</x:v>
      </x:c>
      <x:c r="C8" s="16" t="str">
        <x:v>Manuscript and Documentation</x:v>
      </x:c>
      <x:c r="D8" s="16" t="n">
        <x:v>6</x:v>
      </x:c>
      <x:c r="E8" s="18" t="n">
        <x:v>0.1</x:v>
      </x:c>
      <x:c r="F8" s="18" t="n">
        <x:f>'MANUSCRIPT'!G32</x:f>
        <x:v>0</x:v>
      </x:c>
    </x:row>
    <x:row r="9">
      <x:c r="B9" s="26" t="str">
        <x:v>TOTAL</x:v>
      </x:c>
      <x:c r="C9" s="26" t="str">
        <x:v>PAULUS Project Scope</x:v>
      </x:c>
      <x:c r="D9" s="26" t="n">
        <x:f>SUM(D3:D8)</x:f>
        <x:v>60</x:v>
      </x:c>
      <x:c r="E9" s="27" t="n">
        <x:f>SUM(E3:E8)</x:f>
        <x:v>1</x:v>
      </x:c>
      <x:c r="F9" s="27" t="n">
        <x:f>SUM(F3:F8)</x:f>
        <x:v>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32.5" hidden="0" customWidth="1"/>
    <x:col min="3" max="3" width="47.5" hidden="0" customWidth="1"/>
    <x:col min="4" max="4" width="42.5" hidden="0" customWidth="1"/>
    <x:col min="5" max="5" width="15" hidden="0" customWidth="1"/>
    <x:col min="6" max="6" width="16.8799991607666" hidden="0" customWidth="1"/>
    <x:col min="7" max="7" width="16.8799991607666" hidden="0" customWidth="1"/>
    <x:col min="8" max="8" width="28.75" hidden="0" customWidth="1"/>
  </x:cols>
  <x:sheetData>
    <x:row r="1">
      <x:c r="A1" s="4" t="str">
        <x:v>Task ID</x:v>
      </x:c>
      <x:c r="B1" s="4" t="str">
        <x:v>LOGIN</x:v>
      </x:c>
      <x:c r="C1" s="4" t="str">
        <x:v>Task Name</x:v>
      </x:c>
      <x:c r="D1" s="4" t="str">
        <x:v>Login and User Access Interface</x:v>
      </x:c>
      <x:c r="E1" s="4" t="str"/>
      <x:c r="F1" s="4" t="str">
        <x:v>for qa / internal testing</x:v>
      </x:c>
      <x:c r="G1" s="4" t="str"/>
      <x:c r="H1" s="4" t="str">
        <x:v>https://app.clickup.com/t/86d38tg64</x:v>
      </x:c>
    </x:row>
    <x:row r="2">
      <x:c r="A2" s="8" t="str">
        <x:v>Subtask ID</x:v>
      </x:c>
      <x:c r="B2" s="8" t="str">
        <x:v>Subtask / Task Name</x:v>
      </x:c>
      <x:c r="C2" s="8" t="str">
        <x:v>Acceptance Criteria</x:v>
      </x:c>
      <x:c r="D2" s="8" t="str">
        <x:v>Evidence / Deliverable</x:v>
      </x:c>
      <x:c r="E2" s="8" t="str">
        <x:v>Weight Allocation</x:v>
      </x:c>
      <x:c r="F2" s="8" t="str">
        <x:v>ClickUp Status</x:v>
      </x:c>
      <x:c r="G2" s="8" t="str">
        <x:v>Accepted</x:v>
      </x:c>
      <x:c r="H2" s="8" t="str">
        <x:v>ClickUp URL</x:v>
      </x:c>
    </x:row>
    <x:row r="3">
      <x:c r="A3" s="16" t="str">
        <x:v>REQ-01</x:v>
      </x:c>
      <x:c r="B3" s="16" t="str">
        <x:v>Define login interface requirements</x:v>
      </x:c>
      <x:c r="C3" s="16" t="str">
        <x:v>Given the PAULUS Define login interface requirements task is implemented, the feature should meet the approved capstone requirements and pass review against its expected behavior.</x:v>
      </x:c>
      <x:c r="D3" s="16" t="str">
        <x:v>ClickUp task evidence, implementation output, QA notes, screenshots, tests, or manuscript updates for Define login interface requirements.</x:v>
      </x:c>
      <x:c r="E3" s="18" t="n">
        <x:v>0.00153125</x:v>
      </x:c>
      <x:c r="F3" s="16" t="str">
        <x:v>planning/backlog</x:v>
      </x:c>
      <x:c r="G3" s="17" t="b">
        <x:v>0</x:v>
      </x:c>
      <x:c r="H3" s="16" t="str">
        <x:v>https://app.clickup.com/t/86d390mdr</x:v>
      </x:c>
    </x:row>
    <x:row r="4">
      <x:c r="A4" s="16" t="str">
        <x:v>DES-01</x:v>
      </x:c>
      <x:c r="B4" s="16" t="str">
        <x:v>Design login page wireframe</x:v>
      </x:c>
      <x:c r="C4" s="16" t="str">
        <x:v>Given the PAULUS Design login page wireframe task is implemented, the feature should meet the approved capstone requirements and pass review against its expected behavior.</x:v>
      </x:c>
      <x:c r="D4" s="16" t="str">
        <x:v>ClickUp task evidence, implementation output, QA notes, screenshots, tests, or manuscript updates for Design login page wireframe.</x:v>
      </x:c>
      <x:c r="E4" s="18" t="n">
        <x:v>0.00153125</x:v>
      </x:c>
      <x:c r="F4" s="16" t="str">
        <x:v>planning/backlog</x:v>
      </x:c>
      <x:c r="G4" s="17" t="b">
        <x:v>0</x:v>
      </x:c>
      <x:c r="H4" s="16" t="str">
        <x:v>https://app.clickup.com/t/86d390mgb</x:v>
      </x:c>
    </x:row>
    <x:row r="5">
      <x:c r="A5" s="16" t="str">
        <x:v>DEV-01</x:v>
      </x:c>
      <x:c r="B5" s="16" t="str">
        <x:v>Build login page layout</x:v>
      </x:c>
      <x:c r="C5" s="16" t="str">
        <x:v>Given the PAULUS Build login page layout task is implemented, the feature should meet the approved capstone requirements and pass review against its expected behavior.</x:v>
      </x:c>
      <x:c r="D5" s="16" t="str">
        <x:v>ClickUp task evidence, implementation output, QA notes, screenshots, tests, or manuscript updates for Build login page layout.</x:v>
      </x:c>
      <x:c r="E5" s="18" t="n">
        <x:v>0.00153125</x:v>
      </x:c>
      <x:c r="F5" s="16" t="str">
        <x:v>planning/backlog</x:v>
      </x:c>
      <x:c r="G5" s="17" t="b">
        <x:v>0</x:v>
      </x:c>
      <x:c r="H5" s="16" t="str">
        <x:v>https://app.clickup.com/t/86d390mke</x:v>
      </x:c>
    </x:row>
    <x:row r="6">
      <x:c r="A6" s="16" t="str">
        <x:v>DEV-02</x:v>
      </x:c>
      <x:c r="B6" s="16" t="str">
        <x:v>Connect login form to authentication API</x:v>
      </x:c>
      <x:c r="C6" s="16" t="str">
        <x:v>Given the PAULUS Connect login form to authentication API task is implemented, the feature should meet the approved capstone requirements and pass review against its expected behavior.</x:v>
      </x:c>
      <x:c r="D6" s="16" t="str">
        <x:v>ClickUp task evidence, implementation output, QA notes, screenshots, tests, or manuscript updates for Connect login form to authentication API.</x:v>
      </x:c>
      <x:c r="E6" s="18" t="n">
        <x:v>0.00153125</x:v>
      </x:c>
      <x:c r="F6" s="16" t="str">
        <x:v>planning/backlog</x:v>
      </x:c>
      <x:c r="G6" s="17" t="b">
        <x:v>0</x:v>
      </x:c>
      <x:c r="H6" s="16" t="str">
        <x:v>https://app.clickup.com/t/86d390mp8</x:v>
      </x:c>
    </x:row>
    <x:row r="7">
      <x:c r="A7" s="16" t="str">
        <x:v>TEST-01</x:v>
      </x:c>
      <x:c r="B7" s="16" t="str">
        <x:v>Test valid and invalid login behavior</x:v>
      </x:c>
      <x:c r="C7" s="16" t="str">
        <x:v>Given the PAULUS Test valid and invalid login behavior task is implemented, the feature should meet the approved capstone requirements and pass review against its expected behavior.</x:v>
      </x:c>
      <x:c r="D7" s="16" t="str">
        <x:v>ClickUp task evidence, implementation output, QA notes, screenshots, tests, or manuscript updates for Test valid and invalid login behavior.</x:v>
      </x:c>
      <x:c r="E7" s="18" t="n">
        <x:v>0.00153125</x:v>
      </x:c>
      <x:c r="F7" s="16" t="str">
        <x:v>planning/backlog</x:v>
      </x:c>
      <x:c r="G7" s="17" t="b">
        <x:v>0</x:v>
      </x:c>
      <x:c r="H7" s="16" t="str">
        <x:v>https://app.clickup.com/t/86d390mrn</x:v>
      </x:c>
    </x:row>
    <x:row r="8">
      <x:c r="A8" s="16" t="str">
        <x:v>FIX-01</x:v>
      </x:c>
      <x:c r="B8" s="16" t="str">
        <x:v>Resolve login form and validation issues</x:v>
      </x:c>
      <x:c r="C8" s="16" t="str">
        <x:v>Given the PAULUS Resolve login form and validation issues task is implemented, the feature should meet the approved capstone requirements and pass review against its expected behavior.</x:v>
      </x:c>
      <x:c r="D8" s="16" t="str">
        <x:v>ClickUp task evidence, implementation output, QA notes, screenshots, tests, or manuscript updates for Resolve login form and validation issues.</x:v>
      </x:c>
      <x:c r="E8" s="18" t="n">
        <x:v>0.00153125</x:v>
      </x:c>
      <x:c r="F8" s="16" t="str">
        <x:v>planning/backlog</x:v>
      </x:c>
      <x:c r="G8" s="17" t="b">
        <x:v>0</x:v>
      </x:c>
      <x:c r="H8" s="16" t="str">
        <x:v>https://app.clickup.com/t/86d390muz</x:v>
      </x:c>
    </x:row>
    <x:row r="9">
      <x:c r="A9" s="16" t="str">
        <x:v>UAT-01</x:v>
      </x:c>
      <x:c r="B9" s="16" t="str">
        <x:v>Validate login process with target users</x:v>
      </x:c>
      <x:c r="C9" s="16" t="str">
        <x:v>Given the PAULUS Validate login process with target users task is implemented, the feature should meet the approved capstone requirements and pass review against its expected behavior.</x:v>
      </x:c>
      <x:c r="D9" s="16" t="str">
        <x:v>ClickUp task evidence, implementation output, QA notes, screenshots, tests, or manuscript updates for Validate login process with target users.</x:v>
      </x:c>
      <x:c r="E9" s="18" t="n">
        <x:v>0.00153125</x:v>
      </x:c>
      <x:c r="F9" s="16" t="str">
        <x:v>planning/backlog</x:v>
      </x:c>
      <x:c r="G9" s="17" t="b">
        <x:v>0</x:v>
      </x:c>
      <x:c r="H9" s="16" t="str">
        <x:v>https://app.clickup.com/t/86d390mxy</x:v>
      </x:c>
    </x:row>
    <x:row r="10">
      <x:c r="A10" s="16" t="str">
        <x:v>MS-01</x:v>
      </x:c>
      <x:c r="B10" s="16" t="str">
        <x:v>Document login interface in Chapter 4</x:v>
      </x:c>
      <x:c r="C10" s="16" t="str">
        <x:v>Given the PAULUS Document login interface in Chapter 4 task is implemented, the feature should meet the approved capstone requirements and pass review against its expected behavior.</x:v>
      </x:c>
      <x:c r="D10" s="16" t="str">
        <x:v>ClickUp task evidence, implementation output, QA notes, screenshots, tests, or manuscript updates for Document login interface in Chapter 4.</x:v>
      </x:c>
      <x:c r="E10" s="18" t="n">
        <x:v>0.00153125</x:v>
      </x:c>
      <x:c r="F10" s="16" t="str">
        <x:v>planning/backlog</x:v>
      </x:c>
      <x:c r="G10" s="17" t="b">
        <x:v>0</x:v>
      </x:c>
      <x:c r="H10" s="16" t="str">
        <x:v>https://app.clickup.com/t/86d390n0p</x:v>
      </x:c>
    </x:row>
    <x:row r="11">
      <x:c r="A11" s="26" t="str">
        <x:v>Total Accomplished</x:v>
      </x:c>
      <x:c r="B11" s="26" t="str"/>
      <x:c r="C11" s="26" t="str"/>
      <x:c r="D11" s="26" t="str"/>
      <x:c r="E11" s="27" t="n">
        <x:f>SUM(E3:E10)</x:f>
        <x:v>0.012249999999999999</x:v>
      </x:c>
      <x:c r="F11" s="27" t="str"/>
      <x:c r="G11" s="27" t="n">
        <x:f>SUMIF(G3:G10, TRUE, E3:E10)</x:f>
        <x:v>0</x:v>
      </x:c>
      <x:c r="H11" s="26" t="str"/>
    </x:row>
    <x:row r="13">
      <x:c r="A13" s="4" t="str">
        <x:v>Task ID</x:v>
      </x:c>
      <x:c r="B13" s="4" t="str">
        <x:v>DASH</x:v>
      </x:c>
      <x:c r="C13" s="4" t="str">
        <x:v>Task Name</x:v>
      </x:c>
      <x:c r="D13" s="4" t="str">
        <x:v>Main Financial Dashboard</x:v>
      </x:c>
      <x:c r="E13" s="4" t="str"/>
      <x:c r="F13" s="4" t="str">
        <x:v>for qa / internal testing</x:v>
      </x:c>
      <x:c r="G13" s="4" t="str"/>
      <x:c r="H13" s="4" t="str">
        <x:v>https://app.clickup.com/t/86d38tg6m</x:v>
      </x:c>
    </x:row>
    <x:row r="14">
      <x:c r="A14" s="8" t="str">
        <x:v>Subtask ID</x:v>
      </x:c>
      <x:c r="B14" s="8" t="str">
        <x:v>Subtask / Task Name</x:v>
      </x:c>
      <x:c r="C14" s="8" t="str">
        <x:v>Acceptance Criteria</x:v>
      </x:c>
      <x:c r="D14" s="8" t="str">
        <x:v>Evidence / Deliverable</x:v>
      </x:c>
      <x:c r="E14" s="8" t="str">
        <x:v>Weight Allocation</x:v>
      </x:c>
      <x:c r="F14" s="8" t="str">
        <x:v>ClickUp Status</x:v>
      </x:c>
      <x:c r="G14" s="8" t="str">
        <x:v>Accepted</x:v>
      </x:c>
      <x:c r="H14" s="8" t="str">
        <x:v>ClickUp URL</x:v>
      </x:c>
    </x:row>
    <x:row r="15">
      <x:c r="A15" s="16" t="str">
        <x:v>REQ-01</x:v>
      </x:c>
      <x:c r="B15" s="16" t="str">
        <x:v>Define dashboard data and filter requirements</x:v>
      </x:c>
      <x:c r="C15" s="16" t="str">
        <x:v>Given the PAULUS Define dashboard data and filter requirements task is implemented, the feature should meet the approved capstone requirements and pass review against its expected behavior.</x:v>
      </x:c>
      <x:c r="D15" s="16" t="str">
        <x:v>ClickUp task evidence, implementation output, QA notes, screenshots, tests, or manuscript updates for Define dashboard data and filter requirements.</x:v>
      </x:c>
      <x:c r="E15" s="18" t="n">
        <x:v>0.001225</x:v>
      </x:c>
      <x:c r="F15" s="16" t="str">
        <x:v>planning/backlog</x:v>
      </x:c>
      <x:c r="G15" s="17" t="b">
        <x:v>0</x:v>
      </x:c>
      <x:c r="H15" s="16" t="str">
        <x:v>https://app.clickup.com/t/86d390n52</x:v>
      </x:c>
    </x:row>
    <x:row r="16">
      <x:c r="A16" s="16" t="str">
        <x:v>DES-01</x:v>
      </x:c>
      <x:c r="B16" s="16" t="str">
        <x:v>Create dashboard wireframe</x:v>
      </x:c>
      <x:c r="C16" s="16" t="str">
        <x:v>Given the PAULUS Create dashboard wireframe task is implemented, the feature should meet the approved capstone requirements and pass review against its expected behavior.</x:v>
      </x:c>
      <x:c r="D16" s="16" t="str">
        <x:v>ClickUp task evidence, implementation output, QA notes, screenshots, tests, or manuscript updates for Create dashboard wireframe.</x:v>
      </x:c>
      <x:c r="E16" s="18" t="n">
        <x:v>0.001225</x:v>
      </x:c>
      <x:c r="F16" s="16" t="str">
        <x:v>planning/backlog</x:v>
      </x:c>
      <x:c r="G16" s="17" t="b">
        <x:v>0</x:v>
      </x:c>
      <x:c r="H16" s="16" t="str">
        <x:v>https://app.clickup.com/t/86d390nvz</x:v>
      </x:c>
    </x:row>
    <x:row r="17">
      <x:c r="A17" s="16" t="str">
        <x:v>DEV-01</x:v>
      </x:c>
      <x:c r="B17" s="16" t="str">
        <x:v>Build dashboard layout components</x:v>
      </x:c>
      <x:c r="C17" s="16" t="str">
        <x:v>Given the PAULUS Build dashboard layout components task is implemented, the feature should meet the approved capstone requirements and pass review against its expected behavior.</x:v>
      </x:c>
      <x:c r="D17" s="16" t="str">
        <x:v>ClickUp task evidence, implementation output, QA notes, screenshots, tests, or manuscript updates for Build dashboard layout components.</x:v>
      </x:c>
      <x:c r="E17" s="18" t="n">
        <x:v>0.001225</x:v>
      </x:c>
      <x:c r="F17" s="16" t="str">
        <x:v>planning/backlog</x:v>
      </x:c>
      <x:c r="G17" s="17" t="b">
        <x:v>0</x:v>
      </x:c>
      <x:c r="H17" s="16" t="str">
        <x:v>https://app.clickup.com/t/86d390p6m</x:v>
      </x:c>
    </x:row>
    <x:row r="18">
      <x:c r="A18" s="16" t="str">
        <x:v>DEV-02</x:v>
      </x:c>
      <x:c r="B18" s="16" t="str">
        <x:v>Add financial summary cards</x:v>
      </x:c>
      <x:c r="C18" s="16" t="str">
        <x:v>Given the PAULUS Add financial summary cards task is implemented, the feature should meet the approved capstone requirements and pass review against its expected behavior.</x:v>
      </x:c>
      <x:c r="D18" s="16" t="str">
        <x:v>ClickUp task evidence, implementation output, QA notes, screenshots, tests, or manuscript updates for Add financial summary cards.</x:v>
      </x:c>
      <x:c r="E18" s="18" t="n">
        <x:v>0.001225</x:v>
      </x:c>
      <x:c r="F18" s="16" t="str">
        <x:v>planning/backlog</x:v>
      </x:c>
      <x:c r="G18" s="17" t="b">
        <x:v>0</x:v>
      </x:c>
      <x:c r="H18" s="16" t="str">
        <x:v>https://app.clickup.com/t/86d390p8g</x:v>
      </x:c>
    </x:row>
    <x:row r="19">
      <x:c r="A19" s="16" t="str">
        <x:v>DEV-03</x:v>
      </x:c>
      <x:c r="B19" s="16" t="str">
        <x:v>Add chart and visualization components</x:v>
      </x:c>
      <x:c r="C19" s="16" t="str">
        <x:v>Given the PAULUS Add chart and visualization components task is implemented, the feature should meet the approved capstone requirements and pass review against its expected behavior.</x:v>
      </x:c>
      <x:c r="D19" s="16" t="str">
        <x:v>ClickUp task evidence, implementation output, QA notes, screenshots, tests, or manuscript updates for Add chart and visualization components.</x:v>
      </x:c>
      <x:c r="E19" s="18" t="n">
        <x:v>0.001225</x:v>
      </x:c>
      <x:c r="F19" s="16" t="str">
        <x:v>planning/backlog</x:v>
      </x:c>
      <x:c r="G19" s="17" t="b">
        <x:v>0</x:v>
      </x:c>
      <x:c r="H19" s="16" t="str">
        <x:v>https://app.clickup.com/t/86d390pb0</x:v>
      </x:c>
    </x:row>
    <x:row r="20">
      <x:c r="A20" s="16" t="str">
        <x:v>DEV-04</x:v>
      </x:c>
      <x:c r="B20" s="16" t="str">
        <x:v>Connect dashboard to backend API data</x:v>
      </x:c>
      <x:c r="C20" s="16" t="str">
        <x:v>Given the PAULUS Connect dashboard to backend API data task is implemented, the feature should meet the approved capstone requirements and pass review against its expected behavior.</x:v>
      </x:c>
      <x:c r="D20" s="16" t="str">
        <x:v>ClickUp task evidence, implementation output, QA notes, screenshots, tests, or manuscript updates for Connect dashboard to backend API data.</x:v>
      </x:c>
      <x:c r="E20" s="18" t="n">
        <x:v>0.001225</x:v>
      </x:c>
      <x:c r="F20" s="16" t="str">
        <x:v>planning/backlog</x:v>
      </x:c>
      <x:c r="G20" s="17" t="b">
        <x:v>0</x:v>
      </x:c>
      <x:c r="H20" s="16" t="str">
        <x:v>https://app.clickup.com/t/86d390pde</x:v>
      </x:c>
    </x:row>
    <x:row r="21">
      <x:c r="A21" s="16" t="str">
        <x:v>TEST-01</x:v>
      </x:c>
      <x:c r="B21" s="16" t="str">
        <x:v>Verify dashboard data rendering and filters</x:v>
      </x:c>
      <x:c r="C21" s="16" t="str">
        <x:v>Given the PAULUS Verify dashboard data rendering and filters task is implemented, the feature should meet the approved capstone requirements and pass review against its expected behavior.</x:v>
      </x:c>
      <x:c r="D21" s="16" t="str">
        <x:v>ClickUp task evidence, implementation output, QA notes, screenshots, tests, or manuscript updates for Verify dashboard data rendering and filters.</x:v>
      </x:c>
      <x:c r="E21" s="18" t="n">
        <x:v>0.001225</x:v>
      </x:c>
      <x:c r="F21" s="16" t="str">
        <x:v>planning/backlog</x:v>
      </x:c>
      <x:c r="G21" s="17" t="b">
        <x:v>0</x:v>
      </x:c>
      <x:c r="H21" s="16" t="str">
        <x:v>https://app.clickup.com/t/86d390pfw</x:v>
      </x:c>
    </x:row>
    <x:row r="22">
      <x:c r="A22" s="16" t="str">
        <x:v>FIX-01</x:v>
      </x:c>
      <x:c r="B22" s="16" t="str">
        <x:v>Resolve dashboard display and calculation issues</x:v>
      </x:c>
      <x:c r="C22" s="16" t="str">
        <x:v>Given the PAULUS Resolve dashboard display and calculation issues task is implemented, the feature should meet the approved capstone requirements and pass review against its expected behavior.</x:v>
      </x:c>
      <x:c r="D22" s="16" t="str">
        <x:v>ClickUp task evidence, implementation output, QA notes, screenshots, tests, or manuscript updates for Resolve dashboard display and calculation issues.</x:v>
      </x:c>
      <x:c r="E22" s="18" t="n">
        <x:v>0.001225</x:v>
      </x:c>
      <x:c r="F22" s="16" t="str">
        <x:v>planning/backlog</x:v>
      </x:c>
      <x:c r="G22" s="17" t="b">
        <x:v>0</x:v>
      </x:c>
      <x:c r="H22" s="16" t="str">
        <x:v>https://app.clickup.com/t/86d390pjm</x:v>
      </x:c>
    </x:row>
    <x:row r="23">
      <x:c r="A23" s="16" t="str">
        <x:v>UAT-01</x:v>
      </x:c>
      <x:c r="B23" s="16" t="str">
        <x:v>Validate dashboard usability with target users</x:v>
      </x:c>
      <x:c r="C23" s="16" t="str">
        <x:v>Given the PAULUS Validate dashboard usability with target users task is implemented, the feature should meet the approved capstone requirements and pass review against its expected behavior.</x:v>
      </x:c>
      <x:c r="D23" s="16" t="str">
        <x:v>ClickUp task evidence, implementation output, QA notes, screenshots, tests, or manuscript updates for Validate dashboard usability with target users.</x:v>
      </x:c>
      <x:c r="E23" s="18" t="n">
        <x:v>0.001225</x:v>
      </x:c>
      <x:c r="F23" s="16" t="str">
        <x:v>planning/backlog</x:v>
      </x:c>
      <x:c r="G23" s="17" t="b">
        <x:v>0</x:v>
      </x:c>
      <x:c r="H23" s="16" t="str">
        <x:v>https://app.clickup.com/t/86d390pn2</x:v>
      </x:c>
    </x:row>
    <x:row r="24">
      <x:c r="A24" s="16" t="str">
        <x:v>MS-01</x:v>
      </x:c>
      <x:c r="B24" s="16" t="str">
        <x:v>Document dashboard module in Chapter 4</x:v>
      </x:c>
      <x:c r="C24" s="16" t="str">
        <x:v>Given the PAULUS Document dashboard module in Chapter 4 task is implemented, the feature should meet the approved capstone requirements and pass review against its expected behavior.</x:v>
      </x:c>
      <x:c r="D24" s="16" t="str">
        <x:v>ClickUp task evidence, implementation output, QA notes, screenshots, tests, or manuscript updates for Document dashboard module in Chapter 4.</x:v>
      </x:c>
      <x:c r="E24" s="18" t="n">
        <x:v>0.001225</x:v>
      </x:c>
      <x:c r="F24" s="16" t="str">
        <x:v>planning/backlog</x:v>
      </x:c>
      <x:c r="G24" s="17" t="b">
        <x:v>0</x:v>
      </x:c>
      <x:c r="H24" s="16" t="str">
        <x:v>https://app.clickup.com/t/86d390pqg</x:v>
      </x:c>
    </x:row>
    <x:row r="25">
      <x:c r="A25" s="26" t="str">
        <x:v>Total Accomplished</x:v>
      </x:c>
      <x:c r="B25" s="26" t="str"/>
      <x:c r="C25" s="26" t="str"/>
      <x:c r="D25" s="26" t="str"/>
      <x:c r="E25" s="27" t="n">
        <x:f>SUM(E15:E24)</x:f>
        <x:v>0.012250000000000002</x:v>
      </x:c>
      <x:c r="F25" s="27" t="str"/>
      <x:c r="G25" s="27" t="n">
        <x:f>SUMIF(G15:G24, TRUE, E15:E24)</x:f>
        <x:v>0</x:v>
      </x:c>
      <x:c r="H25" s="26" t="str"/>
    </x:row>
    <x:row r="27">
      <x:c r="A27" s="4" t="str">
        <x:v>Task ID</x:v>
      </x:c>
      <x:c r="B27" s="4" t="str">
        <x:v>INST</x:v>
      </x:c>
      <x:c r="C27" s="4" t="str">
        <x:v>Task Name</x:v>
      </x:c>
      <x:c r="D27" s="4" t="str">
        <x:v>Institution Management Interface</x:v>
      </x:c>
      <x:c r="E27" s="4" t="str"/>
      <x:c r="F27" s="4" t="str">
        <x:v>for qa / internal testing</x:v>
      </x:c>
      <x:c r="G27" s="4" t="str"/>
      <x:c r="H27" s="4" t="str">
        <x:v>https://app.clickup.com/t/86d38tg8j</x:v>
      </x:c>
    </x:row>
    <x:row r="28">
      <x:c r="A28" s="8" t="str">
        <x:v>Subtask ID</x:v>
      </x:c>
      <x:c r="B28" s="8" t="str">
        <x:v>Subtask / Task Name</x:v>
      </x:c>
      <x:c r="C28" s="8" t="str">
        <x:v>Acceptance Criteria</x:v>
      </x:c>
      <x:c r="D28" s="8" t="str">
        <x:v>Evidence / Deliverable</x:v>
      </x:c>
      <x:c r="E28" s="8" t="str">
        <x:v>Weight Allocation</x:v>
      </x:c>
      <x:c r="F28" s="8" t="str">
        <x:v>ClickUp Status</x:v>
      </x:c>
      <x:c r="G28" s="8" t="str">
        <x:v>Accepted</x:v>
      </x:c>
      <x:c r="H28" s="8" t="str">
        <x:v>ClickUp URL</x:v>
      </x:c>
    </x:row>
    <x:row r="29">
      <x:c r="A29" s="16" t="str">
        <x:v>INST</x:v>
      </x:c>
      <x:c r="B29" s="16" t="str">
        <x:v>Institution Management Interface</x:v>
      </x:c>
      <x:c r="C29" s="16" t="str">
        <x:v>Given the PAULUS Institution Management Interface task is implemented, the feature should meet the approved capstone requirements and pass review against its expected behavior.</x:v>
      </x:c>
      <x:c r="D29" s="16" t="str">
        <x:v>ClickUp task evidence, implementation output, QA notes, screenshots, tests, or manuscript updates for Institution Management Interface.</x:v>
      </x:c>
      <x:c r="E29" s="18" t="n">
        <x:v>0.01225</x:v>
      </x:c>
      <x:c r="F29" s="16" t="str">
        <x:v>for qa / internal testing</x:v>
      </x:c>
      <x:c r="G29" s="17" t="b">
        <x:v>0</x:v>
      </x:c>
      <x:c r="H29" s="16" t="str">
        <x:v>https://app.clickup.com/t/86d38tg8j</x:v>
      </x:c>
    </x:row>
    <x:row r="30">
      <x:c r="A30" s="26" t="str">
        <x:v>Total Accomplished</x:v>
      </x:c>
      <x:c r="B30" s="26" t="str"/>
      <x:c r="C30" s="26" t="str"/>
      <x:c r="D30" s="26" t="str"/>
      <x:c r="E30" s="27" t="n">
        <x:f>SUM(E29:E29)</x:f>
        <x:v>0.01225</x:v>
      </x:c>
      <x:c r="F30" s="27" t="str"/>
      <x:c r="G30" s="27" t="n">
        <x:f>SUMIF(G29:G29, TRUE, E29:E29)</x:f>
        <x:v>0</x:v>
      </x:c>
      <x:c r="H30" s="26" t="str"/>
    </x:row>
    <x:row r="32">
      <x:c r="A32" s="4" t="str">
        <x:v>Task ID</x:v>
      </x:c>
      <x:c r="B32" s="4" t="str">
        <x:v>TWIN</x:v>
      </x:c>
      <x:c r="C32" s="4" t="str">
        <x:v>Task Name</x:v>
      </x:c>
      <x:c r="D32" s="4" t="str">
        <x:v>Digital Twin Interface</x:v>
      </x:c>
      <x:c r="E32" s="4" t="str"/>
      <x:c r="F32" s="4" t="str">
        <x:v>for qa / internal testing</x:v>
      </x:c>
      <x:c r="G32" s="4" t="str"/>
      <x:c r="H32" s="4" t="str">
        <x:v>https://app.clickup.com/t/86d38tgck</x:v>
      </x:c>
    </x:row>
    <x:row r="33">
      <x:c r="A33" s="8" t="str">
        <x:v>Subtask ID</x:v>
      </x:c>
      <x:c r="B33" s="8" t="str">
        <x:v>Subtask / Task Name</x:v>
      </x:c>
      <x:c r="C33" s="8" t="str">
        <x:v>Acceptance Criteria</x:v>
      </x:c>
      <x:c r="D33" s="8" t="str">
        <x:v>Evidence / Deliverable</x:v>
      </x:c>
      <x:c r="E33" s="8" t="str">
        <x:v>Weight Allocation</x:v>
      </x:c>
      <x:c r="F33" s="8" t="str">
        <x:v>ClickUp Status</x:v>
      </x:c>
      <x:c r="G33" s="8" t="str">
        <x:v>Accepted</x:v>
      </x:c>
      <x:c r="H33" s="8" t="str">
        <x:v>ClickUp URL</x:v>
      </x:c>
    </x:row>
    <x:row r="34">
      <x:c r="A34" s="16" t="str">
        <x:v>TWIN</x:v>
      </x:c>
      <x:c r="B34" s="16" t="str">
        <x:v>Digital Twin Interface</x:v>
      </x:c>
      <x:c r="C34" s="16" t="str">
        <x:v>Given the PAULUS Digital Twin Interface task is implemented, the feature should meet the approved capstone requirements and pass review against its expected behavior.</x:v>
      </x:c>
      <x:c r="D34" s="16" t="str">
        <x:v>ClickUp task evidence, implementation output, QA notes, screenshots, tests, or manuscript updates for Digital Twin Interface.</x:v>
      </x:c>
      <x:c r="E34" s="18" t="n">
        <x:v>0.01225</x:v>
      </x:c>
      <x:c r="F34" s="16" t="str">
        <x:v>for qa / internal testing</x:v>
      </x:c>
      <x:c r="G34" s="17" t="b">
        <x:v>0</x:v>
      </x:c>
      <x:c r="H34" s="16" t="str">
        <x:v>https://app.clickup.com/t/86d38tgck</x:v>
      </x:c>
    </x:row>
    <x:row r="35">
      <x:c r="A35" s="26" t="str">
        <x:v>Total Accomplished</x:v>
      </x:c>
      <x:c r="B35" s="26" t="str"/>
      <x:c r="C35" s="26" t="str"/>
      <x:c r="D35" s="26" t="str"/>
      <x:c r="E35" s="27" t="n">
        <x:f>SUM(E34:E34)</x:f>
        <x:v>0.01225</x:v>
      </x:c>
      <x:c r="F35" s="27" t="str"/>
      <x:c r="G35" s="27" t="n">
        <x:f>SUMIF(G34:G34, TRUE, E34:E34)</x:f>
        <x:v>0</x:v>
      </x:c>
      <x:c r="H35" s="26" t="str"/>
    </x:row>
    <x:row r="37">
      <x:c r="A37" s="4" t="str">
        <x:v>Task ID</x:v>
      </x:c>
      <x:c r="B37" s="4" t="str">
        <x:v>WHATIF</x:v>
      </x:c>
      <x:c r="C37" s="4" t="str">
        <x:v>Task Name</x:v>
      </x:c>
      <x:c r="D37" s="4" t="str">
        <x:v>What-If Simulator Interface</x:v>
      </x:c>
      <x:c r="E37" s="4" t="str"/>
      <x:c r="F37" s="4" t="str">
        <x:v>for qa / internal testing</x:v>
      </x:c>
      <x:c r="G37" s="4" t="str"/>
      <x:c r="H37" s="4" t="str">
        <x:v>https://app.clickup.com/t/86d38tgd8</x:v>
      </x:c>
    </x:row>
    <x:row r="38">
      <x:c r="A38" s="8" t="str">
        <x:v>Subtask ID</x:v>
      </x:c>
      <x:c r="B38" s="8" t="str">
        <x:v>Subtask / Task Name</x:v>
      </x:c>
      <x:c r="C38" s="8" t="str">
        <x:v>Acceptance Criteria</x:v>
      </x:c>
      <x:c r="D38" s="8" t="str">
        <x:v>Evidence / Deliverable</x:v>
      </x:c>
      <x:c r="E38" s="8" t="str">
        <x:v>Weight Allocation</x:v>
      </x:c>
      <x:c r="F38" s="8" t="str">
        <x:v>ClickUp Status</x:v>
      </x:c>
      <x:c r="G38" s="8" t="str">
        <x:v>Accepted</x:v>
      </x:c>
      <x:c r="H38" s="8" t="str">
        <x:v>ClickUp URL</x:v>
      </x:c>
    </x:row>
    <x:row r="39">
      <x:c r="A39" s="16" t="str">
        <x:v>WHATIF</x:v>
      </x:c>
      <x:c r="B39" s="16" t="str">
        <x:v>What-If Simulator Interface</x:v>
      </x:c>
      <x:c r="C39" s="16" t="str">
        <x:v>Given the PAULUS What-If Simulator Interface task is implemented, the feature should meet the approved capstone requirements and pass review against its expected behavior.</x:v>
      </x:c>
      <x:c r="D39" s="16" t="str">
        <x:v>ClickUp task evidence, implementation output, QA notes, screenshots, tests, or manuscript updates for What-If Simulator Interface.</x:v>
      </x:c>
      <x:c r="E39" s="18" t="n">
        <x:v>0.01225</x:v>
      </x:c>
      <x:c r="F39" s="16" t="str">
        <x:v>for qa / internal testing</x:v>
      </x:c>
      <x:c r="G39" s="17" t="b">
        <x:v>0</x:v>
      </x:c>
      <x:c r="H39" s="16" t="str">
        <x:v>https://app.clickup.com/t/86d38tgd8</x:v>
      </x:c>
    </x:row>
    <x:row r="40">
      <x:c r="A40" s="26" t="str">
        <x:v>Total Accomplished</x:v>
      </x:c>
      <x:c r="B40" s="26" t="str"/>
      <x:c r="C40" s="26" t="str"/>
      <x:c r="D40" s="26" t="str"/>
      <x:c r="E40" s="27" t="n">
        <x:f>SUM(E39:E39)</x:f>
        <x:v>0.01225</x:v>
      </x:c>
      <x:c r="F40" s="27" t="str"/>
      <x:c r="G40" s="27" t="n">
        <x:f>SUMIF(G39:G39, TRUE, E39:E39)</x:f>
        <x:v>0</x:v>
      </x:c>
      <x:c r="H40" s="26" t="str"/>
    </x:row>
    <x:row r="42">
      <x:c r="A42" s="4" t="str">
        <x:v>Task ID</x:v>
      </x:c>
      <x:c r="B42" s="4" t="str">
        <x:v>BUDGET</x:v>
      </x:c>
      <x:c r="C42" s="4" t="str">
        <x:v>Task Name</x:v>
      </x:c>
      <x:c r="D42" s="4" t="str">
        <x:v>Budget Page</x:v>
      </x:c>
      <x:c r="E42" s="4" t="str"/>
      <x:c r="F42" s="4" t="str">
        <x:v>planning/backlog</x:v>
      </x:c>
      <x:c r="G42" s="4" t="str"/>
      <x:c r="H42" s="4" t="str">
        <x:v>https://app.clickup.com/t/86d3bw6fq</x:v>
      </x:c>
    </x:row>
    <x:row r="43">
      <x:c r="A43" s="8" t="str">
        <x:v>Subtask ID</x:v>
      </x:c>
      <x:c r="B43" s="8" t="str">
        <x:v>Subtask / Task Name</x:v>
      </x:c>
      <x:c r="C43" s="8" t="str">
        <x:v>Acceptance Criteria</x:v>
      </x:c>
      <x:c r="D43" s="8" t="str">
        <x:v>Evidence / Deliverable</x:v>
      </x:c>
      <x:c r="E43" s="8" t="str">
        <x:v>Weight Allocation</x:v>
      </x:c>
      <x:c r="F43" s="8" t="str">
        <x:v>ClickUp Status</x:v>
      </x:c>
      <x:c r="G43" s="8" t="str">
        <x:v>Accepted</x:v>
      </x:c>
      <x:c r="H43" s="8" t="str">
        <x:v>ClickUp URL</x:v>
      </x:c>
    </x:row>
    <x:row r="44">
      <x:c r="A44" s="16" t="str">
        <x:v>REQ-01</x:v>
      </x:c>
      <x:c r="B44" s="16" t="str">
        <x:v>Define budget page fields, filters, and user permissions</x:v>
      </x:c>
      <x:c r="C44" s="16" t="str">
        <x:v>Given the PAULUS Define budget page fields, filters, and user permissions task is implemented, the feature should meet the approved capstone requirements and pass review against its expected behavior.</x:v>
      </x:c>
      <x:c r="D44" s="16" t="str">
        <x:v>ClickUp task evidence, implementation output, QA notes, screenshots, tests, or manuscript updates for Define budget page fields, filters, and user permissions.</x:v>
      </x:c>
      <x:c r="E44" s="18" t="n">
        <x:v>0.004083333333333334</x:v>
      </x:c>
      <x:c r="F44" s="16" t="str">
        <x:v>not in ClickUp - added from QA list</x:v>
      </x:c>
      <x:c r="G44" s="17" t="b">
        <x:v>0</x:v>
      </x:c>
      <x:c r="H44" s="16" t="str"/>
    </x:row>
    <x:row r="45">
      <x:c r="A45" s="16" t="str">
        <x:v>QA-01</x:v>
      </x:c>
      <x:c r="B45" s="16" t="str">
        <x:v>QA budget page display, totals, and validation behavior</x:v>
      </x:c>
      <x:c r="C45" s="16" t="str">
        <x:v>Given the PAULUS QA budget page display, totals, and validation behavior task is implemented, the feature should meet the approved capstone requirements and pass review against its expected behavior.</x:v>
      </x:c>
      <x:c r="D45" s="16" t="str">
        <x:v>ClickUp task evidence, implementation output, QA notes, screenshots, tests, or manuscript updates for QA budget page display, totals, and validation behavior.</x:v>
      </x:c>
      <x:c r="E45" s="18" t="n">
        <x:v>0.004083333333333334</x:v>
      </x:c>
      <x:c r="F45" s="16" t="str">
        <x:v>not in ClickUp - added from QA list</x:v>
      </x:c>
      <x:c r="G45" s="17" t="b">
        <x:v>0</x:v>
      </x:c>
      <x:c r="H45" s="16" t="str"/>
    </x:row>
    <x:row r="46">
      <x:c r="A46" s="16" t="str">
        <x:v>UAT-01</x:v>
      </x:c>
      <x:c r="B46" s="16" t="str">
        <x:v>Validate budget page with representative user workflow</x:v>
      </x:c>
      <x:c r="C46" s="16" t="str">
        <x:v>Given the PAULUS Validate budget page with representative user workflow task is implemented, the feature should meet the approved capstone requirements and pass review against its expected behavior.</x:v>
      </x:c>
      <x:c r="D46" s="16" t="str">
        <x:v>ClickUp task evidence, implementation output, QA notes, screenshots, tests, or manuscript updates for Validate budget page with representative user workflow.</x:v>
      </x:c>
      <x:c r="E46" s="18" t="n">
        <x:v>0.004083333333333334</x:v>
      </x:c>
      <x:c r="F46" s="16" t="str">
        <x:v>not in ClickUp - added from QA list</x:v>
      </x:c>
      <x:c r="G46" s="17" t="b">
        <x:v>0</x:v>
      </x:c>
      <x:c r="H46" s="16" t="str"/>
    </x:row>
    <x:row r="47">
      <x:c r="A47" s="26" t="str">
        <x:v>Total Accomplished</x:v>
      </x:c>
      <x:c r="B47" s="26" t="str"/>
      <x:c r="C47" s="26" t="str"/>
      <x:c r="D47" s="26" t="str"/>
      <x:c r="E47" s="27" t="n">
        <x:f>SUM(E44:E46)</x:f>
        <x:v>0.01225</x:v>
      </x:c>
      <x:c r="F47" s="27" t="str"/>
      <x:c r="G47" s="27" t="n">
        <x:f>SUMIF(G44:G46, TRUE, E44:E46)</x:f>
        <x:v>0</x:v>
      </x:c>
      <x:c r="H47" s="26" t="str"/>
    </x:row>
    <x:row r="49">
      <x:c r="A49" s="4" t="str">
        <x:v>Task ID</x:v>
      </x:c>
      <x:c r="B49" s="4" t="str">
        <x:v>EVENTS</x:v>
      </x:c>
      <x:c r="C49" s="4" t="str">
        <x:v>Task Name</x:v>
      </x:c>
      <x:c r="D49" s="4" t="str">
        <x:v>Events Page</x:v>
      </x:c>
      <x:c r="E49" s="4" t="str"/>
      <x:c r="F49" s="4" t="str">
        <x:v>planning/backlog</x:v>
      </x:c>
      <x:c r="G49" s="4" t="str"/>
      <x:c r="H49" s="4" t="str">
        <x:v>https://app.clickup.com/t/86d3bw6gu</x:v>
      </x:c>
    </x:row>
    <x:row r="50">
      <x:c r="A50" s="8" t="str">
        <x:v>Subtask ID</x:v>
      </x:c>
      <x:c r="B50" s="8" t="str">
        <x:v>Subtask / Task Name</x:v>
      </x:c>
      <x:c r="C50" s="8" t="str">
        <x:v>Acceptance Criteria</x:v>
      </x:c>
      <x:c r="D50" s="8" t="str">
        <x:v>Evidence / Deliverable</x:v>
      </x:c>
      <x:c r="E50" s="8" t="str">
        <x:v>Weight Allocation</x:v>
      </x:c>
      <x:c r="F50" s="8" t="str">
        <x:v>ClickUp Status</x:v>
      </x:c>
      <x:c r="G50" s="8" t="str">
        <x:v>Accepted</x:v>
      </x:c>
      <x:c r="H50" s="8" t="str">
        <x:v>ClickUp URL</x:v>
      </x:c>
    </x:row>
    <x:row r="51">
      <x:c r="A51" s="16" t="str">
        <x:v>REQ-01</x:v>
      </x:c>
      <x:c r="B51" s="16" t="str">
        <x:v>Define events page fields, calendar behavior, and permissions</x:v>
      </x:c>
      <x:c r="C51" s="16" t="str">
        <x:v>Given the PAULUS Define events page fields, calendar behavior, and permissions task is implemented, the feature should meet the approved capstone requirements and pass review against its expected behavior.</x:v>
      </x:c>
      <x:c r="D51" s="16" t="str">
        <x:v>ClickUp task evidence, implementation output, QA notes, screenshots, tests, or manuscript updates for Define events page fields, calendar behavior, and permissions.</x:v>
      </x:c>
      <x:c r="E51" s="18" t="n">
        <x:v>0.004083333333333334</x:v>
      </x:c>
      <x:c r="F51" s="16" t="str">
        <x:v>not in ClickUp - added from QA list</x:v>
      </x:c>
      <x:c r="G51" s="17" t="b">
        <x:v>0</x:v>
      </x:c>
      <x:c r="H51" s="16" t="str"/>
    </x:row>
    <x:row r="52">
      <x:c r="A52" s="16" t="str">
        <x:v>QA-01</x:v>
      </x:c>
      <x:c r="B52" s="16" t="str">
        <x:v>QA event creation, editing, viewing, and filtering</x:v>
      </x:c>
      <x:c r="C52" s="16" t="str">
        <x:v>Given the PAULUS QA event creation, editing, viewing, and filtering task is implemented, the feature should meet the approved capstone requirements and pass review against its expected behavior.</x:v>
      </x:c>
      <x:c r="D52" s="16" t="str">
        <x:v>ClickUp task evidence, implementation output, QA notes, screenshots, tests, or manuscript updates for QA event creation, editing, viewing, and filtering.</x:v>
      </x:c>
      <x:c r="E52" s="18" t="n">
        <x:v>0.004083333333333334</x:v>
      </x:c>
      <x:c r="F52" s="16" t="str">
        <x:v>not in ClickUp - added from QA list</x:v>
      </x:c>
      <x:c r="G52" s="17" t="b">
        <x:v>0</x:v>
      </x:c>
      <x:c r="H52" s="16" t="str"/>
    </x:row>
    <x:row r="53">
      <x:c r="A53" s="16" t="str">
        <x:v>UAT-01</x:v>
      </x:c>
      <x:c r="B53" s="16" t="str">
        <x:v>Validate events page with target users</x:v>
      </x:c>
      <x:c r="C53" s="16" t="str">
        <x:v>Given the PAULUS Validate events page with target users task is implemented, the feature should meet the approved capstone requirements and pass review against its expected behavior.</x:v>
      </x:c>
      <x:c r="D53" s="16" t="str">
        <x:v>ClickUp task evidence, implementation output, QA notes, screenshots, tests, or manuscript updates for Validate events page with target users.</x:v>
      </x:c>
      <x:c r="E53" s="18" t="n">
        <x:v>0.004083333333333334</x:v>
      </x:c>
      <x:c r="F53" s="16" t="str">
        <x:v>not in ClickUp - added from QA list</x:v>
      </x:c>
      <x:c r="G53" s="17" t="b">
        <x:v>0</x:v>
      </x:c>
      <x:c r="H53" s="16" t="str"/>
    </x:row>
    <x:row r="54">
      <x:c r="A54" s="26" t="str">
        <x:v>Total Accomplished</x:v>
      </x:c>
      <x:c r="B54" s="26" t="str"/>
      <x:c r="C54" s="26" t="str"/>
      <x:c r="D54" s="26" t="str"/>
      <x:c r="E54" s="27" t="n">
        <x:f>SUM(E51:E53)</x:f>
        <x:v>0.01225</x:v>
      </x:c>
      <x:c r="F54" s="27" t="str"/>
      <x:c r="G54" s="27" t="n">
        <x:f>SUMIF(G51:G53, TRUE, E51:E53)</x:f>
        <x:v>0</x:v>
      </x:c>
      <x:c r="H54" s="26" t="str"/>
    </x:row>
    <x:row r="56">
      <x:c r="A56" s="4" t="str">
        <x:v>Task ID</x:v>
      </x:c>
      <x:c r="B56" s="4" t="str">
        <x:v>REPORT</x:v>
      </x:c>
      <x:c r="C56" s="4" t="str">
        <x:v>Task Name</x:v>
      </x:c>
      <x:c r="D56" s="4" t="str">
        <x:v>Report Viewing and Export Interface</x:v>
      </x:c>
      <x:c r="E56" s="4" t="str"/>
      <x:c r="F56" s="4" t="str">
        <x:v>for qa / internal testing</x:v>
      </x:c>
      <x:c r="G56" s="4" t="str"/>
      <x:c r="H56" s="4" t="str">
        <x:v>https://app.clickup.com/t/86d38tgc8</x:v>
      </x:c>
    </x:row>
    <x:row r="57">
      <x:c r="A57" s="8" t="str">
        <x:v>Subtask ID</x:v>
      </x:c>
      <x:c r="B57" s="8" t="str">
        <x:v>Subtask / Task Name</x:v>
      </x:c>
      <x:c r="C57" s="8" t="str">
        <x:v>Acceptance Criteria</x:v>
      </x:c>
      <x:c r="D57" s="8" t="str">
        <x:v>Evidence / Deliverable</x:v>
      </x:c>
      <x:c r="E57" s="8" t="str">
        <x:v>Weight Allocation</x:v>
      </x:c>
      <x:c r="F57" s="8" t="str">
        <x:v>ClickUp Status</x:v>
      </x:c>
      <x:c r="G57" s="8" t="str">
        <x:v>Accepted</x:v>
      </x:c>
      <x:c r="H57" s="8" t="str">
        <x:v>ClickUp URL</x:v>
      </x:c>
    </x:row>
    <x:row r="58">
      <x:c r="A58" s="16" t="str">
        <x:v>REPORT</x:v>
      </x:c>
      <x:c r="B58" s="16" t="str">
        <x:v>Report Viewing and Export Interface</x:v>
      </x:c>
      <x:c r="C58" s="16" t="str">
        <x:v>Given the PAULUS Report Viewing and Export Interface task is implemented, the feature should meet the approved capstone requirements and pass review against its expected behavior.</x:v>
      </x:c>
      <x:c r="D58" s="16" t="str">
        <x:v>ClickUp task evidence, implementation output, QA notes, screenshots, tests, or manuscript updates for Report Viewing and Export Interface.</x:v>
      </x:c>
      <x:c r="E58" s="18" t="n">
        <x:v>0.01225</x:v>
      </x:c>
      <x:c r="F58" s="16" t="str">
        <x:v>for qa / internal testing</x:v>
      </x:c>
      <x:c r="G58" s="17" t="b">
        <x:v>0</x:v>
      </x:c>
      <x:c r="H58" s="16" t="str">
        <x:v>https://app.clickup.com/t/86d38tgc8</x:v>
      </x:c>
    </x:row>
    <x:row r="59">
      <x:c r="A59" s="26" t="str">
        <x:v>Total Accomplished</x:v>
      </x:c>
      <x:c r="B59" s="26" t="str"/>
      <x:c r="C59" s="26" t="str"/>
      <x:c r="D59" s="26" t="str"/>
      <x:c r="E59" s="27" t="n">
        <x:f>SUM(E58:E58)</x:f>
        <x:v>0.01225</x:v>
      </x:c>
      <x:c r="F59" s="27" t="str"/>
      <x:c r="G59" s="27" t="n">
        <x:f>SUMIF(G58:G58, TRUE, E58:E58)</x:f>
        <x:v>0</x:v>
      </x:c>
      <x:c r="H59" s="26" t="str"/>
    </x:row>
    <x:row r="61">
      <x:c r="A61" s="4" t="str">
        <x:v>Task ID</x:v>
      </x:c>
      <x:c r="B61" s="4" t="str">
        <x:v>GEO</x:v>
      </x:c>
      <x:c r="C61" s="4" t="str">
        <x:v>Task Name</x:v>
      </x:c>
      <x:c r="D61" s="4" t="str">
        <x:v>Geospatial Institution Map</x:v>
      </x:c>
      <x:c r="E61" s="4" t="str"/>
      <x:c r="F61" s="4" t="str">
        <x:v>for qa / internal testing</x:v>
      </x:c>
      <x:c r="G61" s="4" t="str"/>
      <x:c r="H61" s="4" t="str">
        <x:v>https://app.clickup.com/t/86d38tged</x:v>
      </x:c>
    </x:row>
    <x:row r="62">
      <x:c r="A62" s="8" t="str">
        <x:v>Subtask ID</x:v>
      </x:c>
      <x:c r="B62" s="8" t="str">
        <x:v>Subtask / Task Name</x:v>
      </x:c>
      <x:c r="C62" s="8" t="str">
        <x:v>Acceptance Criteria</x:v>
      </x:c>
      <x:c r="D62" s="8" t="str">
        <x:v>Evidence / Deliverable</x:v>
      </x:c>
      <x:c r="E62" s="8" t="str">
        <x:v>Weight Allocation</x:v>
      </x:c>
      <x:c r="F62" s="8" t="str">
        <x:v>ClickUp Status</x:v>
      </x:c>
      <x:c r="G62" s="8" t="str">
        <x:v>Accepted</x:v>
      </x:c>
      <x:c r="H62" s="8" t="str">
        <x:v>ClickUp URL</x:v>
      </x:c>
    </x:row>
    <x:row r="63">
      <x:c r="A63" s="16" t="str">
        <x:v>GEO</x:v>
      </x:c>
      <x:c r="B63" s="16" t="str">
        <x:v>Geospatial Institution Map</x:v>
      </x:c>
      <x:c r="C63" s="16" t="str">
        <x:v>Given the PAULUS Geospatial Institution Map task is implemented, the feature should meet the approved capstone requirements and pass review against its expected behavior.</x:v>
      </x:c>
      <x:c r="D63" s="16" t="str">
        <x:v>ClickUp task evidence, implementation output, QA notes, screenshots, tests, or manuscript updates for Geospatial Institution Map.</x:v>
      </x:c>
      <x:c r="E63" s="18" t="n">
        <x:v>0.01225</x:v>
      </x:c>
      <x:c r="F63" s="16" t="str">
        <x:v>for qa / internal testing</x:v>
      </x:c>
      <x:c r="G63" s="17" t="b">
        <x:v>0</x:v>
      </x:c>
      <x:c r="H63" s="16" t="str">
        <x:v>https://app.clickup.com/t/86d38tged</x:v>
      </x:c>
    </x:row>
    <x:row r="64">
      <x:c r="A64" s="26" t="str">
        <x:v>Total Accomplished</x:v>
      </x:c>
      <x:c r="B64" s="26" t="str"/>
      <x:c r="C64" s="26" t="str"/>
      <x:c r="D64" s="26" t="str"/>
      <x:c r="E64" s="27" t="n">
        <x:f>SUM(E63:E63)</x:f>
        <x:v>0.01225</x:v>
      </x:c>
      <x:c r="F64" s="27" t="str"/>
      <x:c r="G64" s="27" t="n">
        <x:f>SUMIF(G63:G63, TRUE, E63:E63)</x:f>
        <x:v>0</x:v>
      </x:c>
      <x:c r="H64" s="26" t="str"/>
    </x:row>
    <x:row r="66">
      <x:c r="A66" s="4" t="str">
        <x:v>Task ID</x:v>
      </x:c>
      <x:c r="B66" s="4" t="str">
        <x:v>PRST</x:v>
      </x:c>
      <x:c r="C66" s="4" t="str">
        <x:v>Task Name</x:v>
      </x:c>
      <x:c r="D66" s="4" t="str">
        <x:v>Priest Health Tracker Interface</x:v>
      </x:c>
      <x:c r="E66" s="4" t="str"/>
      <x:c r="F66" s="4" t="str">
        <x:v>for qa / internal testing</x:v>
      </x:c>
      <x:c r="G66" s="4" t="str"/>
      <x:c r="H66" s="4" t="str">
        <x:v>https://app.clickup.com/t/86d38tgmg</x:v>
      </x:c>
    </x:row>
    <x:row r="67">
      <x:c r="A67" s="8" t="str">
        <x:v>Subtask ID</x:v>
      </x:c>
      <x:c r="B67" s="8" t="str">
        <x:v>Subtask / Task Name</x:v>
      </x:c>
      <x:c r="C67" s="8" t="str">
        <x:v>Acceptance Criteria</x:v>
      </x:c>
      <x:c r="D67" s="8" t="str">
        <x:v>Evidence / Deliverable</x:v>
      </x:c>
      <x:c r="E67" s="8" t="str">
        <x:v>Weight Allocation</x:v>
      </x:c>
      <x:c r="F67" s="8" t="str">
        <x:v>ClickUp Status</x:v>
      </x:c>
      <x:c r="G67" s="8" t="str">
        <x:v>Accepted</x:v>
      </x:c>
      <x:c r="H67" s="8" t="str">
        <x:v>ClickUp URL</x:v>
      </x:c>
    </x:row>
    <x:row r="68">
      <x:c r="A68" s="16" t="str">
        <x:v>PRST</x:v>
      </x:c>
      <x:c r="B68" s="16" t="str">
        <x:v>Priest Health Tracker Interface</x:v>
      </x:c>
      <x:c r="C68" s="16" t="str">
        <x:v>Given the PAULUS Priest Health Tracker Interface task is implemented, the feature should meet the approved capstone requirements and pass review against its expected behavior.</x:v>
      </x:c>
      <x:c r="D68" s="16" t="str">
        <x:v>ClickUp task evidence, implementation output, QA notes, screenshots, tests, or manuscript updates for Priest Health Tracker Interface.</x:v>
      </x:c>
      <x:c r="E68" s="18" t="n">
        <x:v>0.01225</x:v>
      </x:c>
      <x:c r="F68" s="16" t="str">
        <x:v>for qa / internal testing</x:v>
      </x:c>
      <x:c r="G68" s="17" t="b">
        <x:v>0</x:v>
      </x:c>
      <x:c r="H68" s="16" t="str">
        <x:v>https://app.clickup.com/t/86d38tgmg</x:v>
      </x:c>
    </x:row>
    <x:row r="69">
      <x:c r="A69" s="26" t="str">
        <x:v>Total Accomplished</x:v>
      </x:c>
      <x:c r="B69" s="26" t="str"/>
      <x:c r="C69" s="26" t="str"/>
      <x:c r="D69" s="26" t="str"/>
      <x:c r="E69" s="27" t="n">
        <x:f>SUM(E68:E68)</x:f>
        <x:v>0.01225</x:v>
      </x:c>
      <x:c r="F69" s="27" t="str"/>
      <x:c r="G69" s="27" t="n">
        <x:f>SUMIF(G68:G68, TRUE, E68:E68)</x:f>
        <x:v>0</x:v>
      </x:c>
      <x:c r="H69" s="26" t="str"/>
    </x:row>
    <x:row r="71">
      <x:c r="A71" s="4" t="str">
        <x:v>Task ID</x:v>
      </x:c>
      <x:c r="B71" s="4" t="str">
        <x:v>PROJ</x:v>
      </x:c>
      <x:c r="C71" s="4" t="str">
        <x:v>Task Name</x:v>
      </x:c>
      <x:c r="D71" s="4" t="str">
        <x:v>Projects and Donations Interface</x:v>
      </x:c>
      <x:c r="E71" s="4" t="str"/>
      <x:c r="F71" s="4" t="str">
        <x:v>for qa / internal testing</x:v>
      </x:c>
      <x:c r="G71" s="4" t="str"/>
      <x:c r="H71" s="4" t="str">
        <x:v>https://app.clickup.com/t/86d38tgb5</x:v>
      </x:c>
    </x:row>
    <x:row r="72">
      <x:c r="A72" s="8" t="str">
        <x:v>Subtask ID</x:v>
      </x:c>
      <x:c r="B72" s="8" t="str">
        <x:v>Subtask / Task Name</x:v>
      </x:c>
      <x:c r="C72" s="8" t="str">
        <x:v>Acceptance Criteria</x:v>
      </x:c>
      <x:c r="D72" s="8" t="str">
        <x:v>Evidence / Deliverable</x:v>
      </x:c>
      <x:c r="E72" s="8" t="str">
        <x:v>Weight Allocation</x:v>
      </x:c>
      <x:c r="F72" s="8" t="str">
        <x:v>ClickUp Status</x:v>
      </x:c>
      <x:c r="G72" s="8" t="str">
        <x:v>Accepted</x:v>
      </x:c>
      <x:c r="H72" s="8" t="str">
        <x:v>ClickUp URL</x:v>
      </x:c>
    </x:row>
    <x:row r="73">
      <x:c r="A73" s="16" t="str">
        <x:v>PROJ</x:v>
      </x:c>
      <x:c r="B73" s="16" t="str">
        <x:v>Projects and Donations Interface</x:v>
      </x:c>
      <x:c r="C73" s="16" t="str">
        <x:v>Given the PAULUS Projects and Donations Interface task is implemented, the feature should meet the approved capstone requirements and pass review against its expected behavior.</x:v>
      </x:c>
      <x:c r="D73" s="16" t="str">
        <x:v>ClickUp task evidence, implementation output, QA notes, screenshots, tests, or manuscript updates for Projects and Donations Interface.</x:v>
      </x:c>
      <x:c r="E73" s="18" t="n">
        <x:v>0.01225</x:v>
      </x:c>
      <x:c r="F73" s="16" t="str">
        <x:v>for qa / internal testing</x:v>
      </x:c>
      <x:c r="G73" s="17" t="b">
        <x:v>0</x:v>
      </x:c>
      <x:c r="H73" s="16" t="str">
        <x:v>https://app.clickup.com/t/86d38tgb5</x:v>
      </x:c>
    </x:row>
    <x:row r="74">
      <x:c r="A74" s="26" t="str">
        <x:v>Total Accomplished</x:v>
      </x:c>
      <x:c r="B74" s="26" t="str"/>
      <x:c r="C74" s="26" t="str"/>
      <x:c r="D74" s="26" t="str"/>
      <x:c r="E74" s="27" t="n">
        <x:f>SUM(E73:E73)</x:f>
        <x:v>0.01225</x:v>
      </x:c>
      <x:c r="F74" s="27" t="str"/>
      <x:c r="G74" s="27" t="n">
        <x:f>SUMIF(G73:G73, TRUE, E73:E73)</x:f>
        <x:v>0</x:v>
      </x:c>
      <x:c r="H74" s="26" t="str"/>
    </x:row>
    <x:row r="76">
      <x:c r="A76" s="4" t="str">
        <x:v>Task ID</x:v>
      </x:c>
      <x:c r="B76" s="4" t="str">
        <x:v>CHAT</x:v>
      </x:c>
      <x:c r="C76" s="4" t="str">
        <x:v>Task Name</x:v>
      </x:c>
      <x:c r="D76" s="4" t="str">
        <x:v>AI Chatbot Interface</x:v>
      </x:c>
      <x:c r="E76" s="4" t="str"/>
      <x:c r="F76" s="4" t="str">
        <x:v>for qa / internal testing</x:v>
      </x:c>
      <x:c r="G76" s="4" t="str"/>
      <x:c r="H76" s="4" t="str">
        <x:v>https://app.clickup.com/t/86d38tgkb</x:v>
      </x:c>
    </x:row>
    <x:row r="77">
      <x:c r="A77" s="8" t="str">
        <x:v>Subtask ID</x:v>
      </x:c>
      <x:c r="B77" s="8" t="str">
        <x:v>Subtask / Task Name</x:v>
      </x:c>
      <x:c r="C77" s="8" t="str">
        <x:v>Acceptance Criteria</x:v>
      </x:c>
      <x:c r="D77" s="8" t="str">
        <x:v>Evidence / Deliverable</x:v>
      </x:c>
      <x:c r="E77" s="8" t="str">
        <x:v>Weight Allocation</x:v>
      </x:c>
      <x:c r="F77" s="8" t="str">
        <x:v>ClickUp Status</x:v>
      </x:c>
      <x:c r="G77" s="8" t="str">
        <x:v>Accepted</x:v>
      </x:c>
      <x:c r="H77" s="8" t="str">
        <x:v>ClickUp URL</x:v>
      </x:c>
    </x:row>
    <x:row r="78">
      <x:c r="A78" s="16" t="str">
        <x:v>CHAT</x:v>
      </x:c>
      <x:c r="B78" s="16" t="str">
        <x:v>AI Chatbot Interface</x:v>
      </x:c>
      <x:c r="C78" s="16" t="str">
        <x:v>Given the PAULUS AI Chatbot Interface task is implemented, the feature should meet the approved capstone requirements and pass review against its expected behavior.</x:v>
      </x:c>
      <x:c r="D78" s="16" t="str">
        <x:v>ClickUp task evidence, implementation output, QA notes, screenshots, tests, or manuscript updates for AI Chatbot Interface.</x:v>
      </x:c>
      <x:c r="E78" s="18" t="n">
        <x:v>0.01225</x:v>
      </x:c>
      <x:c r="F78" s="16" t="str">
        <x:v>for qa / internal testing</x:v>
      </x:c>
      <x:c r="G78" s="17" t="b">
        <x:v>0</x:v>
      </x:c>
      <x:c r="H78" s="16" t="str">
        <x:v>https://app.clickup.com/t/86d38tgkb</x:v>
      </x:c>
    </x:row>
    <x:row r="79">
      <x:c r="A79" s="26" t="str">
        <x:v>Total Accomplished</x:v>
      </x:c>
      <x:c r="B79" s="26" t="str"/>
      <x:c r="C79" s="26" t="str"/>
      <x:c r="D79" s="26" t="str"/>
      <x:c r="E79" s="27" t="n">
        <x:f>SUM(E78:E78)</x:f>
        <x:v>0.01225</x:v>
      </x:c>
      <x:c r="F79" s="27" t="str"/>
      <x:c r="G79" s="27" t="n">
        <x:f>SUMIF(G78:G78, TRUE, E78:E78)</x:f>
        <x:v>0</x:v>
      </x:c>
      <x:c r="H79" s="26" t="str"/>
    </x:row>
    <x:row r="81">
      <x:c r="A81" s="4" t="str">
        <x:v>Task ID</x:v>
      </x:c>
      <x:c r="B81" s="4" t="str">
        <x:v>ANALYTICS</x:v>
      </x:c>
      <x:c r="C81" s="4" t="str">
        <x:v>Task Name</x:v>
      </x:c>
      <x:c r="D81" s="4" t="str">
        <x:v>Analytics and Decision-Support</x:v>
      </x:c>
      <x:c r="E81" s="4" t="str"/>
      <x:c r="F81" s="4" t="str">
        <x:v>for qa / internal testing</x:v>
      </x:c>
      <x:c r="G81" s="4" t="str"/>
      <x:c r="H81" s="4" t="str">
        <x:v>https://app.clickup.com/t/86d38tgbx</x:v>
      </x:c>
    </x:row>
    <x:row r="82">
      <x:c r="A82" s="8" t="str">
        <x:v>Subtask ID</x:v>
      </x:c>
      <x:c r="B82" s="8" t="str">
        <x:v>Subtask / Task Name</x:v>
      </x:c>
      <x:c r="C82" s="8" t="str">
        <x:v>Acceptance Criteria</x:v>
      </x:c>
      <x:c r="D82" s="8" t="str">
        <x:v>Evidence / Deliverable</x:v>
      </x:c>
      <x:c r="E82" s="8" t="str">
        <x:v>Weight Allocation</x:v>
      </x:c>
      <x:c r="F82" s="8" t="str">
        <x:v>ClickUp Status</x:v>
      </x:c>
      <x:c r="G82" s="8" t="str">
        <x:v>Accepted</x:v>
      </x:c>
      <x:c r="H82" s="8" t="str">
        <x:v>ClickUp URL</x:v>
      </x:c>
    </x:row>
    <x:row r="83">
      <x:c r="A83" s="16" t="str">
        <x:v>ANALYTICS</x:v>
      </x:c>
      <x:c r="B83" s="16" t="str">
        <x:v>Analytics and Decision-Support</x:v>
      </x:c>
      <x:c r="C83" s="16" t="str">
        <x:v>Given the PAULUS Analytics and Decision-Support task is implemented, the feature should meet the approved capstone requirements and pass review against its expected behavior.</x:v>
      </x:c>
      <x:c r="D83" s="16" t="str">
        <x:v>ClickUp task evidence, implementation output, QA notes, screenshots, tests, or manuscript updates for Analytics and Decision-Support.</x:v>
      </x:c>
      <x:c r="E83" s="18" t="n">
        <x:v>0.01225</x:v>
      </x:c>
      <x:c r="F83" s="16" t="str">
        <x:v>for qa / internal testing</x:v>
      </x:c>
      <x:c r="G83" s="17" t="b">
        <x:v>0</x:v>
      </x:c>
      <x:c r="H83" s="16" t="str">
        <x:v>https://app.clickup.com/t/86d38tgbx</x:v>
      </x:c>
    </x:row>
    <x:row r="84">
      <x:c r="A84" s="26" t="str">
        <x:v>Total Accomplished</x:v>
      </x:c>
      <x:c r="B84" s="26" t="str"/>
      <x:c r="C84" s="26" t="str"/>
      <x:c r="D84" s="26" t="str"/>
      <x:c r="E84" s="27" t="n">
        <x:f>SUM(E83:E83)</x:f>
        <x:v>0.01225</x:v>
      </x:c>
      <x:c r="F84" s="27" t="str"/>
      <x:c r="G84" s="27" t="n">
        <x:f>SUMIF(G83:G83, TRUE, E83:E83)</x:f>
        <x:v>0</x:v>
      </x:c>
      <x:c r="H84" s="26" t="str"/>
    </x:row>
    <x:row r="86">
      <x:c r="A86" s="4" t="str">
        <x:v>Task ID</x:v>
      </x:c>
      <x:c r="B86" s="4" t="str">
        <x:v>FS</x:v>
      </x:c>
      <x:c r="C86" s="4" t="str">
        <x:v>Task Name</x:v>
      </x:c>
      <x:c r="D86" s="4" t="str">
        <x:v>Financial Statement Upload Interface</x:v>
      </x:c>
      <x:c r="E86" s="4" t="str"/>
      <x:c r="F86" s="4" t="str">
        <x:v>for qa / internal testing</x:v>
      </x:c>
      <x:c r="G86" s="4" t="str"/>
      <x:c r="H86" s="4" t="str">
        <x:v>https://app.clickup.com/t/86d38tgaq</x:v>
      </x:c>
    </x:row>
    <x:row r="87">
      <x:c r="A87" s="8" t="str">
        <x:v>Subtask ID</x:v>
      </x:c>
      <x:c r="B87" s="8" t="str">
        <x:v>Subtask / Task Name</x:v>
      </x:c>
      <x:c r="C87" s="8" t="str">
        <x:v>Acceptance Criteria</x:v>
      </x:c>
      <x:c r="D87" s="8" t="str">
        <x:v>Evidence / Deliverable</x:v>
      </x:c>
      <x:c r="E87" s="8" t="str">
        <x:v>Weight Allocation</x:v>
      </x:c>
      <x:c r="F87" s="8" t="str">
        <x:v>ClickUp Status</x:v>
      </x:c>
      <x:c r="G87" s="8" t="str">
        <x:v>Accepted</x:v>
      </x:c>
      <x:c r="H87" s="8" t="str">
        <x:v>ClickUp URL</x:v>
      </x:c>
    </x:row>
    <x:row r="88">
      <x:c r="A88" s="16" t="str">
        <x:v>FS</x:v>
      </x:c>
      <x:c r="B88" s="16" t="str">
        <x:v>Financial Statement Upload Interface</x:v>
      </x:c>
      <x:c r="C88" s="16" t="str">
        <x:v>Given the PAULUS Financial Statement Upload Interface task is implemented, the feature should meet the approved capstone requirements and pass review against its expected behavior.</x:v>
      </x:c>
      <x:c r="D88" s="16" t="str">
        <x:v>ClickUp task evidence, implementation output, QA notes, screenshots, tests, or manuscript updates for Financial Statement Upload Interface.</x:v>
      </x:c>
      <x:c r="E88" s="18" t="n">
        <x:v>0.01225</x:v>
      </x:c>
      <x:c r="F88" s="16" t="str">
        <x:v>for qa / internal testing</x:v>
      </x:c>
      <x:c r="G88" s="17" t="b">
        <x:v>0</x:v>
      </x:c>
      <x:c r="H88" s="16" t="str">
        <x:v>https://app.clickup.com/t/86d38tgaq</x:v>
      </x:c>
    </x:row>
    <x:row r="89">
      <x:c r="A89" s="26" t="str">
        <x:v>Total Accomplished</x:v>
      </x:c>
      <x:c r="B89" s="26" t="str"/>
      <x:c r="C89" s="26" t="str"/>
      <x:c r="D89" s="26" t="str"/>
      <x:c r="E89" s="27" t="n">
        <x:f>SUM(E88:E88)</x:f>
        <x:v>0.01225</x:v>
      </x:c>
      <x:c r="F89" s="27" t="str"/>
      <x:c r="G89" s="27" t="n">
        <x:f>SUMIF(G88:G88, TRUE, E88:E88)</x:f>
        <x:v>0</x:v>
      </x:c>
      <x:c r="H89" s="26" t="str"/>
    </x:row>
    <x:row r="91">
      <x:c r="A91" s="4" t="str">
        <x:v>Task ID</x:v>
      </x:c>
      <x:c r="B91" s="4" t="str">
        <x:v>ANNC</x:v>
      </x:c>
      <x:c r="C91" s="4" t="str">
        <x:v>Task Name</x:v>
      </x:c>
      <x:c r="D91" s="4" t="str">
        <x:v>Announcements Interface</x:v>
      </x:c>
      <x:c r="E91" s="4" t="str"/>
      <x:c r="F91" s="4" t="str">
        <x:v>for qa / internal testing</x:v>
      </x:c>
      <x:c r="G91" s="4" t="str"/>
      <x:c r="H91" s="4" t="str">
        <x:v>https://app.clickup.com/t/86d38tgbu</x:v>
      </x:c>
    </x:row>
    <x:row r="92">
      <x:c r="A92" s="8" t="str">
        <x:v>Subtask ID</x:v>
      </x:c>
      <x:c r="B92" s="8" t="str">
        <x:v>Subtask / Task Name</x:v>
      </x:c>
      <x:c r="C92" s="8" t="str">
        <x:v>Acceptance Criteria</x:v>
      </x:c>
      <x:c r="D92" s="8" t="str">
        <x:v>Evidence / Deliverable</x:v>
      </x:c>
      <x:c r="E92" s="8" t="str">
        <x:v>Weight Allocation</x:v>
      </x:c>
      <x:c r="F92" s="8" t="str">
        <x:v>ClickUp Status</x:v>
      </x:c>
      <x:c r="G92" s="8" t="str">
        <x:v>Accepted</x:v>
      </x:c>
      <x:c r="H92" s="8" t="str">
        <x:v>ClickUp URL</x:v>
      </x:c>
    </x:row>
    <x:row r="93">
      <x:c r="A93" s="16" t="str">
        <x:v>DES-01</x:v>
      </x:c>
      <x:c r="B93" s="16" t="str">
        <x:v>Design announcements page and notification display</x:v>
      </x:c>
      <x:c r="C93" s="16" t="str">
        <x:v>Given the PAULUS Design announcements page and notification display task is implemented, the feature should meet the approved capstone requirements and pass review against its expected behavior.</x:v>
      </x:c>
      <x:c r="D93" s="16" t="str">
        <x:v>ClickUp task evidence, implementation output, QA notes, screenshots, tests, or manuscript updates for Design announcements page and notification display.</x:v>
      </x:c>
      <x:c r="E93" s="18" t="n">
        <x:v>0.004083333333333334</x:v>
      </x:c>
      <x:c r="F93" s="16" t="str">
        <x:v>planning/backlog</x:v>
      </x:c>
      <x:c r="G93" s="17" t="b">
        <x:v>0</x:v>
      </x:c>
      <x:c r="H93" s="16" t="str">
        <x:v>https://app.clickup.com/t/86d390g9n</x:v>
      </x:c>
    </x:row>
    <x:row r="94">
      <x:c r="A94" s="16" t="str">
        <x:v>QA-01</x:v>
      </x:c>
      <x:c r="B94" s="16" t="str">
        <x:v>QA announcement creation, editing, publishing, and display</x:v>
      </x:c>
      <x:c r="C94" s="16" t="str">
        <x:v>Given the PAULUS QA announcement creation, editing, publishing, and display task is implemented, the feature should meet the approved capstone requirements and pass review against its expected behavior.</x:v>
      </x:c>
      <x:c r="D94" s="16" t="str">
        <x:v>ClickUp task evidence, implementation output, QA notes, screenshots, tests, or manuscript updates for QA announcement creation, editing, publishing, and display.</x:v>
      </x:c>
      <x:c r="E94" s="18" t="n">
        <x:v>0.004083333333333334</x:v>
      </x:c>
      <x:c r="F94" s="16" t="str">
        <x:v>not in ClickUp - added from QA list</x:v>
      </x:c>
      <x:c r="G94" s="17" t="b">
        <x:v>0</x:v>
      </x:c>
      <x:c r="H94" s="16" t="str"/>
    </x:row>
    <x:row r="95">
      <x:c r="A95" s="16" t="str">
        <x:v>QA-02</x:v>
      </x:c>
      <x:c r="B95" s="16" t="str">
        <x:v>QA notification visibility for announcement updates</x:v>
      </x:c>
      <x:c r="C95" s="16" t="str">
        <x:v>Given the PAULUS QA notification visibility for announcement updates task is implemented, the feature should meet the approved capstone requirements and pass review against its expected behavior.</x:v>
      </x:c>
      <x:c r="D95" s="16" t="str">
        <x:v>ClickUp task evidence, implementation output, QA notes, screenshots, tests, or manuscript updates for QA notification visibility for announcement updates.</x:v>
      </x:c>
      <x:c r="E95" s="18" t="n">
        <x:v>0.004083333333333334</x:v>
      </x:c>
      <x:c r="F95" s="16" t="str">
        <x:v>not in ClickUp - added from QA list</x:v>
      </x:c>
      <x:c r="G95" s="17" t="b">
        <x:v>0</x:v>
      </x:c>
      <x:c r="H95" s="16" t="str"/>
    </x:row>
    <x:row r="96">
      <x:c r="A96" s="26" t="str">
        <x:v>Total Accomplished</x:v>
      </x:c>
      <x:c r="B96" s="26" t="str"/>
      <x:c r="C96" s="26" t="str"/>
      <x:c r="D96" s="26" t="str"/>
      <x:c r="E96" s="27" t="n">
        <x:f>SUM(E93:E95)</x:f>
        <x:v>0.01225</x:v>
      </x:c>
      <x:c r="F96" s="27" t="str"/>
      <x:c r="G96" s="27" t="n">
        <x:f>SUMIF(G93:G95, TRUE, E93:E95)</x:f>
        <x:v>0</x:v>
      </x:c>
      <x:c r="H96" s="26" t="str"/>
    </x:row>
    <x:row r="98">
      <x:c r="A98" s="4" t="str">
        <x:v>Task ID</x:v>
      </x:c>
      <x:c r="B98" s="4" t="str">
        <x:v>NOTIF</x:v>
      </x:c>
      <x:c r="C98" s="4" t="str">
        <x:v>Task Name</x:v>
      </x:c>
      <x:c r="D98" s="4" t="str">
        <x:v>Notification Feature</x:v>
      </x:c>
      <x:c r="E98" s="4" t="str"/>
      <x:c r="F98" s="4" t="str">
        <x:v>planning/backlog</x:v>
      </x:c>
      <x:c r="G98" s="4" t="str"/>
      <x:c r="H98" s="4" t="str">
        <x:v>https://app.clickup.com/t/86d3bw6ht</x:v>
      </x:c>
    </x:row>
    <x:row r="99">
      <x:c r="A99" s="8" t="str">
        <x:v>Subtask ID</x:v>
      </x:c>
      <x:c r="B99" s="8" t="str">
        <x:v>Subtask / Task Name</x:v>
      </x:c>
      <x:c r="C99" s="8" t="str">
        <x:v>Acceptance Criteria</x:v>
      </x:c>
      <x:c r="D99" s="8" t="str">
        <x:v>Evidence / Deliverable</x:v>
      </x:c>
      <x:c r="E99" s="8" t="str">
        <x:v>Weight Allocation</x:v>
      </x:c>
      <x:c r="F99" s="8" t="str">
        <x:v>ClickUp Status</x:v>
      </x:c>
      <x:c r="G99" s="8" t="str">
        <x:v>Accepted</x:v>
      </x:c>
      <x:c r="H99" s="8" t="str">
        <x:v>ClickUp URL</x:v>
      </x:c>
    </x:row>
    <x:row r="100">
      <x:c r="A100" s="16" t="str">
        <x:v>REQ-01</x:v>
      </x:c>
      <x:c r="B100" s="16" t="str">
        <x:v>Define notification triggers, recipients, and read/unread states</x:v>
      </x:c>
      <x:c r="C100" s="16" t="str">
        <x:v>Given the PAULUS Define notification triggers, recipients, and read/unread states task is implemented, the feature should meet the approved capstone requirements and pass review against its expected behavior.</x:v>
      </x:c>
      <x:c r="D100" s="16" t="str">
        <x:v>ClickUp task evidence, implementation output, QA notes, screenshots, tests, or manuscript updates for Define notification triggers, recipients, and read/unread states.</x:v>
      </x:c>
      <x:c r="E100" s="18" t="n">
        <x:v>0.004083333333333334</x:v>
      </x:c>
      <x:c r="F100" s="16" t="str">
        <x:v>not in ClickUp - added from QA list</x:v>
      </x:c>
      <x:c r="G100" s="17" t="b">
        <x:v>0</x:v>
      </x:c>
      <x:c r="H100" s="16" t="str"/>
    </x:row>
    <x:row r="101">
      <x:c r="A101" s="16" t="str">
        <x:v>DEV-01</x:v>
      </x:c>
      <x:c r="B101" s="16" t="str">
        <x:v>Implement notification display and state updates</x:v>
      </x:c>
      <x:c r="C101" s="16" t="str">
        <x:v>Given the PAULUS Implement notification display and state updates task is implemented, the feature should meet the approved capstone requirements and pass review against its expected behavior.</x:v>
      </x:c>
      <x:c r="D101" s="16" t="str">
        <x:v>ClickUp task evidence, implementation output, QA notes, screenshots, tests, or manuscript updates for Implement notification display and state updates.</x:v>
      </x:c>
      <x:c r="E101" s="18" t="n">
        <x:v>0.004083333333333334</x:v>
      </x:c>
      <x:c r="F101" s="16" t="str">
        <x:v>not in ClickUp - added from QA list</x:v>
      </x:c>
      <x:c r="G101" s="17" t="b">
        <x:v>0</x:v>
      </x:c>
      <x:c r="H101" s="16" t="str"/>
    </x:row>
    <x:row r="102">
      <x:c r="A102" s="16" t="str">
        <x:v>QA-01</x:v>
      </x:c>
      <x:c r="B102" s="16" t="str">
        <x:v>QA notification delivery, visibility, and dismissal behavior</x:v>
      </x:c>
      <x:c r="C102" s="16" t="str">
        <x:v>Given the PAULUS QA notification delivery, visibility, and dismissal behavior task is implemented, the feature should meet the approved capstone requirements and pass review against its expected behavior.</x:v>
      </x:c>
      <x:c r="D102" s="16" t="str">
        <x:v>ClickUp task evidence, implementation output, QA notes, screenshots, tests, or manuscript updates for QA notification delivery, visibility, and dismissal behavior.</x:v>
      </x:c>
      <x:c r="E102" s="18" t="n">
        <x:v>0.004083333333333334</x:v>
      </x:c>
      <x:c r="F102" s="16" t="str">
        <x:v>not in ClickUp - added from QA list</x:v>
      </x:c>
      <x:c r="G102" s="17" t="b">
        <x:v>0</x:v>
      </x:c>
      <x:c r="H102" s="16" t="str"/>
    </x:row>
    <x:row r="103">
      <x:c r="A103" s="26" t="str">
        <x:v>Total Accomplished</x:v>
      </x:c>
      <x:c r="B103" s="26" t="str"/>
      <x:c r="C103" s="26" t="str"/>
      <x:c r="D103" s="26" t="str"/>
      <x:c r="E103" s="27" t="n">
        <x:f>SUM(E100:E102)</x:f>
        <x:v>0.01225</x:v>
      </x:c>
      <x:c r="F103" s="27" t="str"/>
      <x:c r="G103" s="27" t="n">
        <x:f>SUMIF(G100:G102, TRUE, E100:E102)</x:f>
        <x:v>0</x:v>
      </x:c>
      <x:c r="H103" s="26" t="str"/>
    </x:row>
    <x:row r="105">
      <x:c r="A105" s="4" t="str">
        <x:v>Task ID</x:v>
      </x:c>
      <x:c r="B105" s="4" t="str">
        <x:v>IAFR</x:v>
      </x:c>
      <x:c r="C105" s="4" t="str">
        <x:v>Task Name</x:v>
      </x:c>
      <x:c r="D105" s="4" t="str">
        <x:v>IAFR Data Entry and Upload Interface</x:v>
      </x:c>
      <x:c r="E105" s="4" t="str"/>
      <x:c r="F105" s="4" t="str">
        <x:v>for qa / internal testing</x:v>
      </x:c>
      <x:c r="G105" s="4" t="str"/>
      <x:c r="H105" s="4" t="str">
        <x:v>https://app.clickup.com/t/86d38tga9</x:v>
      </x:c>
    </x:row>
    <x:row r="106">
      <x:c r="A106" s="8" t="str">
        <x:v>Subtask ID</x:v>
      </x:c>
      <x:c r="B106" s="8" t="str">
        <x:v>Subtask / Task Name</x:v>
      </x:c>
      <x:c r="C106" s="8" t="str">
        <x:v>Acceptance Criteria</x:v>
      </x:c>
      <x:c r="D106" s="8" t="str">
        <x:v>Evidence / Deliverable</x:v>
      </x:c>
      <x:c r="E106" s="8" t="str">
        <x:v>Weight Allocation</x:v>
      </x:c>
      <x:c r="F106" s="8" t="str">
        <x:v>ClickUp Status</x:v>
      </x:c>
      <x:c r="G106" s="8" t="str">
        <x:v>Accepted</x:v>
      </x:c>
      <x:c r="H106" s="8" t="str">
        <x:v>ClickUp URL</x:v>
      </x:c>
    </x:row>
    <x:row r="107">
      <x:c r="A107" s="16" t="str">
        <x:v>IAFR</x:v>
      </x:c>
      <x:c r="B107" s="16" t="str">
        <x:v>IAFR Data Entry and Upload Interface</x:v>
      </x:c>
      <x:c r="C107" s="16" t="str">
        <x:v>Given the PAULUS IAFR Data Entry and Upload Interface task is implemented, the feature should meet the approved capstone requirements and pass review against its expected behavior.</x:v>
      </x:c>
      <x:c r="D107" s="16" t="str">
        <x:v>ClickUp task evidence, implementation output, QA notes, screenshots, tests, or manuscript updates for IAFR Data Entry and Upload Interface.</x:v>
      </x:c>
      <x:c r="E107" s="18" t="n">
        <x:v>0.01225</x:v>
      </x:c>
      <x:c r="F107" s="16" t="str">
        <x:v>for qa / internal testing</x:v>
      </x:c>
      <x:c r="G107" s="17" t="b">
        <x:v>0</x:v>
      </x:c>
      <x:c r="H107" s="16" t="str">
        <x:v>https://app.clickup.com/t/86d38tga9</x:v>
      </x:c>
    </x:row>
    <x:row r="108">
      <x:c r="A108" s="26" t="str">
        <x:v>Total Accomplished</x:v>
      </x:c>
      <x:c r="B108" s="26" t="str"/>
      <x:c r="C108" s="26" t="str"/>
      <x:c r="D108" s="26" t="str"/>
      <x:c r="E108" s="27" t="n">
        <x:f>SUM(E107:E107)</x:f>
        <x:v>0.01225</x:v>
      </x:c>
      <x:c r="F108" s="27" t="str"/>
      <x:c r="G108" s="27" t="n">
        <x:f>SUMIF(G107:G107, TRUE, E107:E107)</x:f>
        <x:v>0</x:v>
      </x:c>
      <x:c r="H108" s="26" t="str"/>
    </x:row>
    <x:row r="110">
      <x:c r="A110" s="4" t="str">
        <x:v>Task ID</x:v>
      </x:c>
      <x:c r="B110" s="4" t="str">
        <x:v>AUDITLOG</x:v>
      </x:c>
      <x:c r="C110" s="4" t="str">
        <x:v>Task Name</x:v>
      </x:c>
      <x:c r="D110" s="4" t="str">
        <x:v>Audit Log Viewing Interface</x:v>
      </x:c>
      <x:c r="E110" s="4" t="str"/>
      <x:c r="F110" s="4" t="str">
        <x:v>for qa / internal testing</x:v>
      </x:c>
      <x:c r="G110" s="4" t="str"/>
      <x:c r="H110" s="4" t="str">
        <x:v>https://app.clickup.com/t/86d38tgxt</x:v>
      </x:c>
    </x:row>
    <x:row r="111">
      <x:c r="A111" s="8" t="str">
        <x:v>Subtask ID</x:v>
      </x:c>
      <x:c r="B111" s="8" t="str">
        <x:v>Subtask / Task Name</x:v>
      </x:c>
      <x:c r="C111" s="8" t="str">
        <x:v>Acceptance Criteria</x:v>
      </x:c>
      <x:c r="D111" s="8" t="str">
        <x:v>Evidence / Deliverable</x:v>
      </x:c>
      <x:c r="E111" s="8" t="str">
        <x:v>Weight Allocation</x:v>
      </x:c>
      <x:c r="F111" s="8" t="str">
        <x:v>ClickUp Status</x:v>
      </x:c>
      <x:c r="G111" s="8" t="str">
        <x:v>Accepted</x:v>
      </x:c>
      <x:c r="H111" s="8" t="str">
        <x:v>ClickUp URL</x:v>
      </x:c>
    </x:row>
    <x:row r="112">
      <x:c r="A112" s="16" t="str">
        <x:v>AUDITLOG</x:v>
      </x:c>
      <x:c r="B112" s="16" t="str">
        <x:v>Audit Log Viewing Interface</x:v>
      </x:c>
      <x:c r="C112" s="16" t="str">
        <x:v>Given the PAULUS Audit Log Viewing Interface task is implemented, the feature should meet the approved capstone requirements and pass review against its expected behavior.</x:v>
      </x:c>
      <x:c r="D112" s="16" t="str">
        <x:v>ClickUp task evidence, implementation output, QA notes, screenshots, tests, or manuscript updates for Audit Log Viewing Interface.</x:v>
      </x:c>
      <x:c r="E112" s="18" t="n">
        <x:v>0.01225</x:v>
      </x:c>
      <x:c r="F112" s="16" t="str">
        <x:v>for qa / internal testing</x:v>
      </x:c>
      <x:c r="G112" s="17" t="b">
        <x:v>0</x:v>
      </x:c>
      <x:c r="H112" s="16" t="str">
        <x:v>https://app.clickup.com/t/86d38tgxt</x:v>
      </x:c>
    </x:row>
    <x:row r="113">
      <x:c r="A113" s="26" t="str">
        <x:v>Total Accomplished</x:v>
      </x:c>
      <x:c r="B113" s="26" t="str"/>
      <x:c r="C113" s="26" t="str"/>
      <x:c r="D113" s="26" t="str"/>
      <x:c r="E113" s="27" t="n">
        <x:f>SUM(E112:E112)</x:f>
        <x:v>0.01225</x:v>
      </x:c>
      <x:c r="F113" s="27" t="str"/>
      <x:c r="G113" s="27" t="n">
        <x:f>SUMIF(G112:G112, TRUE, E112:E112)</x:f>
        <x:v>0</x:v>
      </x:c>
      <x:c r="H113" s="26" t="str"/>
    </x:row>
    <x:row r="115">
      <x:c r="A115" s="4" t="str">
        <x:v>Task ID</x:v>
      </x:c>
      <x:c r="B115" s="4" t="str">
        <x:v>ADMIN</x:v>
      </x:c>
      <x:c r="C115" s="4" t="str">
        <x:v>Task Name</x:v>
      </x:c>
      <x:c r="D115" s="4" t="str">
        <x:v>Admin Management Interface</x:v>
      </x:c>
      <x:c r="E115" s="4" t="str"/>
      <x:c r="F115" s="4" t="str">
        <x:v>for qa / internal testing</x:v>
      </x:c>
      <x:c r="G115" s="4" t="str"/>
      <x:c r="H115" s="4" t="str">
        <x:v>https://app.clickup.com/t/86d38tgy3</x:v>
      </x:c>
    </x:row>
    <x:row r="116">
      <x:c r="A116" s="8" t="str">
        <x:v>Subtask ID</x:v>
      </x:c>
      <x:c r="B116" s="8" t="str">
        <x:v>Subtask / Task Name</x:v>
      </x:c>
      <x:c r="C116" s="8" t="str">
        <x:v>Acceptance Criteria</x:v>
      </x:c>
      <x:c r="D116" s="8" t="str">
        <x:v>Evidence / Deliverable</x:v>
      </x:c>
      <x:c r="E116" s="8" t="str">
        <x:v>Weight Allocation</x:v>
      </x:c>
      <x:c r="F116" s="8" t="str">
        <x:v>ClickUp Status</x:v>
      </x:c>
      <x:c r="G116" s="8" t="str">
        <x:v>Accepted</x:v>
      </x:c>
      <x:c r="H116" s="8" t="str">
        <x:v>ClickUp URL</x:v>
      </x:c>
    </x:row>
    <x:row r="117">
      <x:c r="A117" s="16" t="str">
        <x:v>ADMIN</x:v>
      </x:c>
      <x:c r="B117" s="16" t="str">
        <x:v>Admin Management Interface</x:v>
      </x:c>
      <x:c r="C117" s="16" t="str">
        <x:v>Given the PAULUS Admin Management Interface task is implemented, the feature should meet the approved capstone requirements and pass review against its expected behavior.</x:v>
      </x:c>
      <x:c r="D117" s="16" t="str">
        <x:v>ClickUp task evidence, implementation output, QA notes, screenshots, tests, or manuscript updates for Admin Management Interface.</x:v>
      </x:c>
      <x:c r="E117" s="18" t="n">
        <x:v>0.01225</x:v>
      </x:c>
      <x:c r="F117" s="16" t="str">
        <x:v>for qa / internal testing</x:v>
      </x:c>
      <x:c r="G117" s="17" t="b">
        <x:v>0</x:v>
      </x:c>
      <x:c r="H117" s="16" t="str">
        <x:v>https://app.clickup.com/t/86d38tgy3</x:v>
      </x:c>
    </x:row>
    <x:row r="118">
      <x:c r="A118" s="26" t="str">
        <x:v>Total Accomplished</x:v>
      </x:c>
      <x:c r="B118" s="26" t="str"/>
      <x:c r="C118" s="26" t="str"/>
      <x:c r="D118" s="26" t="str"/>
      <x:c r="E118" s="27" t="n">
        <x:f>SUM(E117:E117)</x:f>
        <x:v>0.01225</x:v>
      </x:c>
      <x:c r="F118" s="27" t="str"/>
      <x:c r="G118" s="27" t="n">
        <x:f>SUMIF(G117:G117, TRUE, E117:E117)</x:f>
        <x:v>0</x:v>
      </x:c>
      <x:c r="H118" s="26" t="str"/>
    </x:row>
    <x:row r="120">
      <x:c r="A120" s="4" t="str">
        <x:v>Task ID</x:v>
      </x:c>
      <x:c r="B120" s="4" t="str">
        <x:v>ARCHIVES</x:v>
      </x:c>
      <x:c r="C120" s="4" t="str">
        <x:v>Task Name</x:v>
      </x:c>
      <x:c r="D120" s="4" t="str">
        <x:v>Archives Page / Archive Management</x:v>
      </x:c>
      <x:c r="E120" s="4" t="str"/>
      <x:c r="F120" s="4" t="str">
        <x:v>planning/backlog</x:v>
      </x:c>
      <x:c r="G120" s="4" t="str"/>
      <x:c r="H120" s="4" t="str">
        <x:v>https://app.clickup.com/t/86d3bw6jy</x:v>
      </x:c>
    </x:row>
    <x:row r="121">
      <x:c r="A121" s="8" t="str">
        <x:v>Subtask ID</x:v>
      </x:c>
      <x:c r="B121" s="8" t="str">
        <x:v>Subtask / Task Name</x:v>
      </x:c>
      <x:c r="C121" s="8" t="str">
        <x:v>Acceptance Criteria</x:v>
      </x:c>
      <x:c r="D121" s="8" t="str">
        <x:v>Evidence / Deliverable</x:v>
      </x:c>
      <x:c r="E121" s="8" t="str">
        <x:v>Weight Allocation</x:v>
      </x:c>
      <x:c r="F121" s="8" t="str">
        <x:v>ClickUp Status</x:v>
      </x:c>
      <x:c r="G121" s="8" t="str">
        <x:v>Accepted</x:v>
      </x:c>
      <x:c r="H121" s="8" t="str">
        <x:v>ClickUp URL</x:v>
      </x:c>
    </x:row>
    <x:row r="122">
      <x:c r="A122" s="16" t="str">
        <x:v>REQ-01</x:v>
      </x:c>
      <x:c r="B122" s="16" t="str">
        <x:v>Define archive rules, retention behavior, and restore permissions</x:v>
      </x:c>
      <x:c r="C122" s="16" t="str">
        <x:v>Given the PAULUS Define archive rules, retention behavior, and restore permissions task is implemented, the feature should meet the approved capstone requirements and pass review against its expected behavior.</x:v>
      </x:c>
      <x:c r="D122" s="16" t="str">
        <x:v>ClickUp task evidence, implementation output, QA notes, screenshots, tests, or manuscript updates for Define archive rules, retention behavior, and restore permissions.</x:v>
      </x:c>
      <x:c r="E122" s="18" t="n">
        <x:v>0.004083333333333334</x:v>
      </x:c>
      <x:c r="F122" s="16" t="str">
        <x:v>not in ClickUp - added from QA list</x:v>
      </x:c>
      <x:c r="G122" s="17" t="b">
        <x:v>0</x:v>
      </x:c>
      <x:c r="H122" s="16" t="str"/>
    </x:row>
    <x:row r="123">
      <x:c r="A123" s="16" t="str">
        <x:v>DEV-01</x:v>
      </x:c>
      <x:c r="B123" s="16" t="str">
        <x:v>Implement archive listing, restore, and permanent-state controls</x:v>
      </x:c>
      <x:c r="C123" s="16" t="str">
        <x:v>Given the PAULUS Implement archive listing, restore, and permanent-state controls task is implemented, the feature should meet the approved capstone requirements and pass review against its expected behavior.</x:v>
      </x:c>
      <x:c r="D123" s="16" t="str">
        <x:v>ClickUp task evidence, implementation output, QA notes, screenshots, tests, or manuscript updates for Implement archive listing, restore, and permanent-state controls.</x:v>
      </x:c>
      <x:c r="E123" s="18" t="n">
        <x:v>0.004083333333333334</x:v>
      </x:c>
      <x:c r="F123" s="16" t="str">
        <x:v>not in ClickUp - added from QA list</x:v>
      </x:c>
      <x:c r="G123" s="17" t="b">
        <x:v>0</x:v>
      </x:c>
      <x:c r="H123" s="16" t="str"/>
    </x:row>
    <x:row r="124">
      <x:c r="A124" s="16" t="str">
        <x:v>QA-01</x:v>
      </x:c>
      <x:c r="B124" s="16" t="str">
        <x:v>QA archive and restore workflows for supported records</x:v>
      </x:c>
      <x:c r="C124" s="16" t="str">
        <x:v>Given the PAULUS QA archive and restore workflows for supported records task is implemented, the feature should meet the approved capstone requirements and pass review against its expected behavior.</x:v>
      </x:c>
      <x:c r="D124" s="16" t="str">
        <x:v>ClickUp task evidence, implementation output, QA notes, screenshots, tests, or manuscript updates for QA archive and restore workflows for supported records.</x:v>
      </x:c>
      <x:c r="E124" s="18" t="n">
        <x:v>0.004083333333333334</x:v>
      </x:c>
      <x:c r="F124" s="16" t="str">
        <x:v>not in ClickUp - added from QA list</x:v>
      </x:c>
      <x:c r="G124" s="17" t="b">
        <x:v>0</x:v>
      </x:c>
      <x:c r="H124" s="16" t="str"/>
    </x:row>
    <x:row r="125">
      <x:c r="A125" s="26" t="str">
        <x:v>Total Accomplished</x:v>
      </x:c>
      <x:c r="B125" s="26" t="str"/>
      <x:c r="C125" s="26" t="str"/>
      <x:c r="D125" s="26" t="str"/>
      <x:c r="E125" s="27" t="n">
        <x:f>SUM(E122:E124)</x:f>
        <x:v>0.01225</x:v>
      </x:c>
      <x:c r="F125" s="27" t="str"/>
      <x:c r="G125" s="27" t="n">
        <x:f>SUMIF(G122:G124, TRUE, E122:E124)</x:f>
        <x:v>0</x:v>
      </x:c>
      <x:c r="H125" s="26" t="str"/>
    </x:row>
    <x:row r="128">
      <x:c r="A128" s="34" t="str">
        <x:v>Module Accomplishment</x:v>
      </x:c>
      <x:c r="B128" s="34" t="str">
        <x:v>MOD-FE</x:v>
      </x:c>
      <x:c r="C128" s="34" t="str">
        <x:v>Frontend User Interface</x:v>
      </x:c>
      <x:c r="D128" s="34" t="str"/>
      <x:c r="E128" s="35" t="n">
        <x:v>0.245</x:v>
      </x:c>
      <x:c r="F128" s="35" t="str"/>
      <x:c r="G128" s="35" t="n">
        <x:f>SUM('MOD-FE'!G11,'MOD-FE'!G25,'MOD-FE'!G30,'MOD-FE'!G35,'MOD-FE'!G40,'MOD-FE'!G47,'MOD-FE'!G54,'MOD-FE'!G59,'MOD-FE'!G64,'MOD-FE'!G69,'MOD-FE'!G74,'MOD-FE'!G79,'MOD-FE'!G84,'MOD-FE'!G89,'MOD-FE'!G96,'MOD-FE'!G103,'MOD-FE'!G108,'MOD-FE'!G113,'MOD-FE'!G118,'MOD-FE'!G125)</x:f>
        <x:v>0</x:v>
      </x:c>
      <x:c r="H128" s="34" t="str"/>
    </x:row>
  </x:sheetData>
  <x:dataValidations count="20">
    <x:dataValidation type="list" sqref="G3:G10">
      <x:formula1>"TRUE,FALSE"</x:formula1>
    </x:dataValidation>
    <x:dataValidation type="list" sqref="G15:G24">
      <x:formula1>"TRUE,FALSE"</x:formula1>
    </x:dataValidation>
    <x:dataValidation type="list" sqref="G29">
      <x:formula1>"TRUE,FALSE"</x:formula1>
    </x:dataValidation>
    <x:dataValidation type="list" sqref="G34">
      <x:formula1>"TRUE,FALSE"</x:formula1>
    </x:dataValidation>
    <x:dataValidation type="list" sqref="G39">
      <x:formula1>"TRUE,FALSE"</x:formula1>
    </x:dataValidation>
    <x:dataValidation type="list" sqref="G44:G46">
      <x:formula1>"TRUE,FALSE"</x:formula1>
    </x:dataValidation>
    <x:dataValidation type="list" sqref="G51:G53">
      <x:formula1>"TRUE,FALSE"</x:formula1>
    </x:dataValidation>
    <x:dataValidation type="list" sqref="G58">
      <x:formula1>"TRUE,FALSE"</x:formula1>
    </x:dataValidation>
    <x:dataValidation type="list" sqref="G63">
      <x:formula1>"TRUE,FALSE"</x:formula1>
    </x:dataValidation>
    <x:dataValidation type="list" sqref="G68">
      <x:formula1>"TRUE,FALSE"</x:formula1>
    </x:dataValidation>
    <x:dataValidation type="list" sqref="G73">
      <x:formula1>"TRUE,FALSE"</x:formula1>
    </x:dataValidation>
    <x:dataValidation type="list" sqref="G78">
      <x:formula1>"TRUE,FALSE"</x:formula1>
    </x:dataValidation>
    <x:dataValidation type="list" sqref="G83">
      <x:formula1>"TRUE,FALSE"</x:formula1>
    </x:dataValidation>
    <x:dataValidation type="list" sqref="G88">
      <x:formula1>"TRUE,FALSE"</x:formula1>
    </x:dataValidation>
    <x:dataValidation type="list" sqref="G93:G95">
      <x:formula1>"TRUE,FALSE"</x:formula1>
    </x:dataValidation>
    <x:dataValidation type="list" sqref="G100:G102">
      <x:formula1>"TRUE,FALSE"</x:formula1>
    </x:dataValidation>
    <x:dataValidation type="list" sqref="G107">
      <x:formula1>"TRUE,FALSE"</x:formula1>
    </x:dataValidation>
    <x:dataValidation type="list" sqref="G112">
      <x:formula1>"TRUE,FALSE"</x:formula1>
    </x:dataValidation>
    <x:dataValidation type="list" sqref="G117">
      <x:formula1>"TRUE,FALSE"</x:formula1>
    </x:dataValidation>
    <x:dataValidation type="list" sqref="G122:G124">
      <x:formula1>"TRUE,FALSE"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32.5" hidden="0" customWidth="1"/>
    <x:col min="3" max="3" width="47.5" hidden="0" customWidth="1"/>
    <x:col min="4" max="4" width="42.5" hidden="0" customWidth="1"/>
    <x:col min="5" max="5" width="15" hidden="0" customWidth="1"/>
    <x:col min="6" max="6" width="16.8799991607666" hidden="0" customWidth="1"/>
    <x:col min="7" max="7" width="16.8799991607666" hidden="0" customWidth="1"/>
    <x:col min="8" max="8" width="28.75" hidden="0" customWidth="1"/>
  </x:cols>
  <x:sheetData>
    <x:row r="1">
      <x:c r="A1" s="4" t="str">
        <x:v>Task ID</x:v>
      </x:c>
      <x:c r="B1" s="4" t="str">
        <x:v>AUTH</x:v>
      </x:c>
      <x:c r="C1" s="4" t="str">
        <x:v>Task Name</x:v>
      </x:c>
      <x:c r="D1" s="4" t="str">
        <x:v>Authentication and Role Access API</x:v>
      </x:c>
      <x:c r="E1" s="4" t="str"/>
      <x:c r="F1" s="4" t="str">
        <x:v>in progress</x:v>
      </x:c>
      <x:c r="G1" s="4" t="str"/>
      <x:c r="H1" s="4" t="str">
        <x:v>https://app.clickup.com/t/86d38tft1</x:v>
      </x:c>
    </x:row>
    <x:row r="2">
      <x:c r="A2" s="8" t="str">
        <x:v>Subtask ID</x:v>
      </x:c>
      <x:c r="B2" s="8" t="str">
        <x:v>Subtask / Task Name</x:v>
      </x:c>
      <x:c r="C2" s="8" t="str">
        <x:v>Acceptance Criteria</x:v>
      </x:c>
      <x:c r="D2" s="8" t="str">
        <x:v>Evidence / Deliverable</x:v>
      </x:c>
      <x:c r="E2" s="8" t="str">
        <x:v>Weight Allocation</x:v>
      </x:c>
      <x:c r="F2" s="8" t="str">
        <x:v>ClickUp Status</x:v>
      </x:c>
      <x:c r="G2" s="8" t="str">
        <x:v>Accepted</x:v>
      </x:c>
      <x:c r="H2" s="8" t="str">
        <x:v>ClickUp URL</x:v>
      </x:c>
    </x:row>
    <x:row r="3">
      <x:c r="A3" s="16" t="str">
        <x:v>AUTH</x:v>
      </x:c>
      <x:c r="B3" s="16" t="str">
        <x:v>Authentication and Role Access API</x:v>
      </x:c>
      <x:c r="C3" s="16" t="str">
        <x:v>Given the PAULUS Authentication and Role Access API task is implemented, the feature should meet the approved capstone requirements and pass review against its expected behavior.</x:v>
      </x:c>
      <x:c r="D3" s="16" t="str">
        <x:v>ClickUp task evidence, implementation output, QA notes, screenshots, tests, or manuscript updates for Authentication and Role Access API.</x:v>
      </x:c>
      <x:c r="E3" s="18" t="n">
        <x:v>0.0146875</x:v>
      </x:c>
      <x:c r="F3" s="16" t="str">
        <x:v>in progress</x:v>
      </x:c>
      <x:c r="G3" s="17" t="b">
        <x:v>0</x:v>
      </x:c>
      <x:c r="H3" s="16" t="str">
        <x:v>https://app.clickup.com/t/86d38tft1</x:v>
      </x:c>
    </x:row>
    <x:row r="4">
      <x:c r="A4" s="26" t="str">
        <x:v>Total Accomplished</x:v>
      </x:c>
      <x:c r="B4" s="26" t="str"/>
      <x:c r="C4" s="26" t="str"/>
      <x:c r="D4" s="26" t="str"/>
      <x:c r="E4" s="27" t="n">
        <x:f>SUM(E3:E3)</x:f>
        <x:v>0.0146875</x:v>
      </x:c>
      <x:c r="F4" s="27" t="str"/>
      <x:c r="G4" s="27" t="n">
        <x:f>SUMIF(G3:G3, TRUE, E3:E3)</x:f>
        <x:v>0</x:v>
      </x:c>
      <x:c r="H4" s="26" t="str"/>
    </x:row>
    <x:row r="6">
      <x:c r="A6" s="4" t="str">
        <x:v>Task ID</x:v>
      </x:c>
      <x:c r="B6" s="4" t="str">
        <x:v>INSTAPI</x:v>
      </x:c>
      <x:c r="C6" s="4" t="str">
        <x:v>Task Name</x:v>
      </x:c>
      <x:c r="D6" s="4" t="str">
        <x:v>Institution Management API</x:v>
      </x:c>
      <x:c r="E6" s="4" t="str"/>
      <x:c r="F6" s="4" t="str">
        <x:v>for qa / internal testing</x:v>
      </x:c>
      <x:c r="G6" s="4" t="str"/>
      <x:c r="H6" s="4" t="str">
        <x:v>https://app.clickup.com/t/86d38tfth</x:v>
      </x:c>
    </x:row>
    <x:row r="7">
      <x:c r="A7" s="8" t="str">
        <x:v>Subtask ID</x:v>
      </x:c>
      <x:c r="B7" s="8" t="str">
        <x:v>Subtask / Task Name</x:v>
      </x:c>
      <x:c r="C7" s="8" t="str">
        <x:v>Acceptance Criteria</x:v>
      </x:c>
      <x:c r="D7" s="8" t="str">
        <x:v>Evidence / Deliverable</x:v>
      </x:c>
      <x:c r="E7" s="8" t="str">
        <x:v>Weight Allocation</x:v>
      </x:c>
      <x:c r="F7" s="8" t="str">
        <x:v>ClickUp Status</x:v>
      </x:c>
      <x:c r="G7" s="8" t="str">
        <x:v>Accepted</x:v>
      </x:c>
      <x:c r="H7" s="8" t="str">
        <x:v>ClickUp URL</x:v>
      </x:c>
    </x:row>
    <x:row r="8">
      <x:c r="A8" s="16" t="str">
        <x:v>INSTAPI</x:v>
      </x:c>
      <x:c r="B8" s="16" t="str">
        <x:v>Institution Management API</x:v>
      </x:c>
      <x:c r="C8" s="16" t="str">
        <x:v>Given the PAULUS Institution Management API task is implemented, the feature should meet the approved capstone requirements and pass review against its expected behavior.</x:v>
      </x:c>
      <x:c r="D8" s="16" t="str">
        <x:v>ClickUp task evidence, implementation output, QA notes, screenshots, tests, or manuscript updates for Institution Management API.</x:v>
      </x:c>
      <x:c r="E8" s="18" t="n">
        <x:v>0.0146875</x:v>
      </x:c>
      <x:c r="F8" s="16" t="str">
        <x:v>for qa / internal testing</x:v>
      </x:c>
      <x:c r="G8" s="17" t="b">
        <x:v>0</x:v>
      </x:c>
      <x:c r="H8" s="16" t="str">
        <x:v>https://app.clickup.com/t/86d38tfth</x:v>
      </x:c>
    </x:row>
    <x:row r="9">
      <x:c r="A9" s="26" t="str">
        <x:v>Total Accomplished</x:v>
      </x:c>
      <x:c r="B9" s="26" t="str"/>
      <x:c r="C9" s="26" t="str"/>
      <x:c r="D9" s="26" t="str"/>
      <x:c r="E9" s="27" t="n">
        <x:f>SUM(E8:E8)</x:f>
        <x:v>0.0146875</x:v>
      </x:c>
      <x:c r="F9" s="27" t="str"/>
      <x:c r="G9" s="27" t="n">
        <x:f>SUMIF(G8:G8, TRUE, E8:E8)</x:f>
        <x:v>0</x:v>
      </x:c>
      <x:c r="H9" s="26" t="str"/>
    </x:row>
    <x:row r="11">
      <x:c r="A11" s="4" t="str">
        <x:v>Task ID</x:v>
      </x:c>
      <x:c r="B11" s="4" t="str">
        <x:v>PROJAPI</x:v>
      </x:c>
      <x:c r="C11" s="4" t="str">
        <x:v>Task Name</x:v>
      </x:c>
      <x:c r="D11" s="4" t="str">
        <x:v>Projects and Donations API</x:v>
      </x:c>
      <x:c r="E11" s="4" t="str"/>
      <x:c r="F11" s="4" t="str">
        <x:v>in progress</x:v>
      </x:c>
      <x:c r="G11" s="4" t="str"/>
      <x:c r="H11" s="4" t="str">
        <x:v>https://app.clickup.com/t/86d38tfuf</x:v>
      </x:c>
    </x:row>
    <x:row r="12">
      <x:c r="A12" s="8" t="str">
        <x:v>Subtask ID</x:v>
      </x:c>
      <x:c r="B12" s="8" t="str">
        <x:v>Subtask / Task Name</x:v>
      </x:c>
      <x:c r="C12" s="8" t="str">
        <x:v>Acceptance Criteria</x:v>
      </x:c>
      <x:c r="D12" s="8" t="str">
        <x:v>Evidence / Deliverable</x:v>
      </x:c>
      <x:c r="E12" s="8" t="str">
        <x:v>Weight Allocation</x:v>
      </x:c>
      <x:c r="F12" s="8" t="str">
        <x:v>ClickUp Status</x:v>
      </x:c>
      <x:c r="G12" s="8" t="str">
        <x:v>Accepted</x:v>
      </x:c>
      <x:c r="H12" s="8" t="str">
        <x:v>ClickUp URL</x:v>
      </x:c>
    </x:row>
    <x:row r="13">
      <x:c r="A13" s="16" t="str">
        <x:v>PROJAPI</x:v>
      </x:c>
      <x:c r="B13" s="16" t="str">
        <x:v>Projects and Donations API</x:v>
      </x:c>
      <x:c r="C13" s="16" t="str">
        <x:v>Given the PAULUS Projects and Donations API task is implemented, the feature should meet the approved capstone requirements and pass review against its expected behavior.</x:v>
      </x:c>
      <x:c r="D13" s="16" t="str">
        <x:v>ClickUp task evidence, implementation output, QA notes, screenshots, tests, or manuscript updates for Projects and Donations API.</x:v>
      </x:c>
      <x:c r="E13" s="18" t="n">
        <x:v>0.0146875</x:v>
      </x:c>
      <x:c r="F13" s="16" t="str">
        <x:v>in progress</x:v>
      </x:c>
      <x:c r="G13" s="17" t="b">
        <x:v>0</x:v>
      </x:c>
      <x:c r="H13" s="16" t="str">
        <x:v>https://app.clickup.com/t/86d38tfuf</x:v>
      </x:c>
    </x:row>
    <x:row r="14">
      <x:c r="A14" s="26" t="str">
        <x:v>Total Accomplished</x:v>
      </x:c>
      <x:c r="B14" s="26" t="str"/>
      <x:c r="C14" s="26" t="str"/>
      <x:c r="D14" s="26" t="str"/>
      <x:c r="E14" s="27" t="n">
        <x:f>SUM(E13:E13)</x:f>
        <x:v>0.0146875</x:v>
      </x:c>
      <x:c r="F14" s="27" t="str"/>
      <x:c r="G14" s="27" t="n">
        <x:f>SUMIF(G13:G13, TRUE, E13:E13)</x:f>
        <x:v>0</x:v>
      </x:c>
      <x:c r="H14" s="26" t="str"/>
    </x:row>
    <x:row r="16">
      <x:c r="A16" s="4" t="str">
        <x:v>Task ID</x:v>
      </x:c>
      <x:c r="B16" s="4" t="str">
        <x:v>ANNCAPI</x:v>
      </x:c>
      <x:c r="C16" s="4" t="str">
        <x:v>Task Name</x:v>
      </x:c>
      <x:c r="D16" s="4" t="str">
        <x:v>Announcements API</x:v>
      </x:c>
      <x:c r="E16" s="4" t="str"/>
      <x:c r="F16" s="4" t="str">
        <x:v>for qa / internal testing</x:v>
      </x:c>
      <x:c r="G16" s="4" t="str"/>
      <x:c r="H16" s="4" t="str">
        <x:v>https://app.clickup.com/t/86d38tfuw</x:v>
      </x:c>
    </x:row>
    <x:row r="17">
      <x:c r="A17" s="8" t="str">
        <x:v>Subtask ID</x:v>
      </x:c>
      <x:c r="B17" s="8" t="str">
        <x:v>Subtask / Task Name</x:v>
      </x:c>
      <x:c r="C17" s="8" t="str">
        <x:v>Acceptance Criteria</x:v>
      </x:c>
      <x:c r="D17" s="8" t="str">
        <x:v>Evidence / Deliverable</x:v>
      </x:c>
      <x:c r="E17" s="8" t="str">
        <x:v>Weight Allocation</x:v>
      </x:c>
      <x:c r="F17" s="8" t="str">
        <x:v>ClickUp Status</x:v>
      </x:c>
      <x:c r="G17" s="8" t="str">
        <x:v>Accepted</x:v>
      </x:c>
      <x:c r="H17" s="8" t="str">
        <x:v>ClickUp URL</x:v>
      </x:c>
    </x:row>
    <x:row r="18">
      <x:c r="A18" s="16" t="str">
        <x:v>ANNCAPI</x:v>
      </x:c>
      <x:c r="B18" s="16" t="str">
        <x:v>Announcements API</x:v>
      </x:c>
      <x:c r="C18" s="16" t="str">
        <x:v>Given the PAULUS Announcements API task is implemented, the feature should meet the approved capstone requirements and pass review against its expected behavior.</x:v>
      </x:c>
      <x:c r="D18" s="16" t="str">
        <x:v>ClickUp task evidence, implementation output, QA notes, screenshots, tests, or manuscript updates for Announcements API.</x:v>
      </x:c>
      <x:c r="E18" s="18" t="n">
        <x:v>0.0146875</x:v>
      </x:c>
      <x:c r="F18" s="16" t="str">
        <x:v>for qa / internal testing</x:v>
      </x:c>
      <x:c r="G18" s="17" t="b">
        <x:v>0</x:v>
      </x:c>
      <x:c r="H18" s="16" t="str">
        <x:v>https://app.clickup.com/t/86d38tfuw</x:v>
      </x:c>
    </x:row>
    <x:row r="19">
      <x:c r="A19" s="26" t="str">
        <x:v>Total Accomplished</x:v>
      </x:c>
      <x:c r="B19" s="26" t="str"/>
      <x:c r="C19" s="26" t="str"/>
      <x:c r="D19" s="26" t="str"/>
      <x:c r="E19" s="27" t="n">
        <x:f>SUM(E18:E18)</x:f>
        <x:v>0.0146875</x:v>
      </x:c>
      <x:c r="F19" s="27" t="str"/>
      <x:c r="G19" s="27" t="n">
        <x:f>SUMIF(G18:G18, TRUE, E18:E18)</x:f>
        <x:v>0</x:v>
      </x:c>
      <x:c r="H19" s="26" t="str"/>
    </x:row>
    <x:row r="21">
      <x:c r="A21" s="4" t="str">
        <x:v>Task ID</x:v>
      </x:c>
      <x:c r="B21" s="4" t="str">
        <x:v>FSAPI</x:v>
      </x:c>
      <x:c r="C21" s="4" t="str">
        <x:v>Task Name</x:v>
      </x:c>
      <x:c r="D21" s="4" t="str">
        <x:v>Financial Statement Processing API</x:v>
      </x:c>
      <x:c r="E21" s="4" t="str"/>
      <x:c r="F21" s="4" t="str">
        <x:v>planning/backlog</x:v>
      </x:c>
      <x:c r="G21" s="4" t="str"/>
      <x:c r="H21" s="4" t="str">
        <x:v>https://app.clickup.com/t/86d38tfu2</x:v>
      </x:c>
    </x:row>
    <x:row r="22">
      <x:c r="A22" s="8" t="str">
        <x:v>Subtask ID</x:v>
      </x:c>
      <x:c r="B22" s="8" t="str">
        <x:v>Subtask / Task Name</x:v>
      </x:c>
      <x:c r="C22" s="8" t="str">
        <x:v>Acceptance Criteria</x:v>
      </x:c>
      <x:c r="D22" s="8" t="str">
        <x:v>Evidence / Deliverable</x:v>
      </x:c>
      <x:c r="E22" s="8" t="str">
        <x:v>Weight Allocation</x:v>
      </x:c>
      <x:c r="F22" s="8" t="str">
        <x:v>ClickUp Status</x:v>
      </x:c>
      <x:c r="G22" s="8" t="str">
        <x:v>Accepted</x:v>
      </x:c>
      <x:c r="H22" s="8" t="str">
        <x:v>ClickUp URL</x:v>
      </x:c>
    </x:row>
    <x:row r="23">
      <x:c r="A23" s="16" t="str">
        <x:v>FSAPI</x:v>
      </x:c>
      <x:c r="B23" s="16" t="str">
        <x:v>Financial Statement Processing API</x:v>
      </x:c>
      <x:c r="C23" s="16" t="str">
        <x:v>Given the PAULUS Financial Statement Processing API task is implemented, the feature should meet the approved capstone requirements and pass review against its expected behavior.</x:v>
      </x:c>
      <x:c r="D23" s="16" t="str">
        <x:v>ClickUp task evidence, implementation output, QA notes, screenshots, tests, or manuscript updates for Financial Statement Processing API.</x:v>
      </x:c>
      <x:c r="E23" s="18" t="n">
        <x:v>0.0146875</x:v>
      </x:c>
      <x:c r="F23" s="16" t="str">
        <x:v>planning/backlog</x:v>
      </x:c>
      <x:c r="G23" s="17" t="b">
        <x:v>0</x:v>
      </x:c>
      <x:c r="H23" s="16" t="str">
        <x:v>https://app.clickup.com/t/86d38tfu2</x:v>
      </x:c>
    </x:row>
    <x:row r="24">
      <x:c r="A24" s="26" t="str">
        <x:v>Total Accomplished</x:v>
      </x:c>
      <x:c r="B24" s="26" t="str"/>
      <x:c r="C24" s="26" t="str"/>
      <x:c r="D24" s="26" t="str"/>
      <x:c r="E24" s="27" t="n">
        <x:f>SUM(E23:E23)</x:f>
        <x:v>0.0146875</x:v>
      </x:c>
      <x:c r="F24" s="27" t="str"/>
      <x:c r="G24" s="27" t="n">
        <x:f>SUMIF(G23:G23, TRUE, E23:E23)</x:f>
        <x:v>0</x:v>
      </x:c>
      <x:c r="H24" s="26" t="str"/>
    </x:row>
    <x:row r="26">
      <x:c r="A26" s="4" t="str">
        <x:v>Task ID</x:v>
      </x:c>
      <x:c r="B26" s="4" t="str">
        <x:v>IAFRAPI</x:v>
      </x:c>
      <x:c r="C26" s="4" t="str">
        <x:v>Task Name</x:v>
      </x:c>
      <x:c r="D26" s="4" t="str">
        <x:v>IAFR Processing API</x:v>
      </x:c>
      <x:c r="E26" s="4" t="str"/>
      <x:c r="F26" s="4" t="str">
        <x:v>planning/backlog</x:v>
      </x:c>
      <x:c r="G26" s="4" t="str"/>
      <x:c r="H26" s="4" t="str">
        <x:v>https://app.clickup.com/t/86d38tftn</x:v>
      </x:c>
    </x:row>
    <x:row r="27">
      <x:c r="A27" s="8" t="str">
        <x:v>Subtask ID</x:v>
      </x:c>
      <x:c r="B27" s="8" t="str">
        <x:v>Subtask / Task Name</x:v>
      </x:c>
      <x:c r="C27" s="8" t="str">
        <x:v>Acceptance Criteria</x:v>
      </x:c>
      <x:c r="D27" s="8" t="str">
        <x:v>Evidence / Deliverable</x:v>
      </x:c>
      <x:c r="E27" s="8" t="str">
        <x:v>Weight Allocation</x:v>
      </x:c>
      <x:c r="F27" s="8" t="str">
        <x:v>ClickUp Status</x:v>
      </x:c>
      <x:c r="G27" s="8" t="str">
        <x:v>Accepted</x:v>
      </x:c>
      <x:c r="H27" s="8" t="str">
        <x:v>ClickUp URL</x:v>
      </x:c>
    </x:row>
    <x:row r="28">
      <x:c r="A28" s="16" t="str">
        <x:v>IAFRAPI</x:v>
      </x:c>
      <x:c r="B28" s="16" t="str">
        <x:v>IAFR Processing API</x:v>
      </x:c>
      <x:c r="C28" s="16" t="str">
        <x:v>Given the PAULUS IAFR Processing API task is implemented, the feature should meet the approved capstone requirements and pass review against its expected behavior.</x:v>
      </x:c>
      <x:c r="D28" s="16" t="str">
        <x:v>ClickUp task evidence, implementation output, QA notes, screenshots, tests, or manuscript updates for IAFR Processing API.</x:v>
      </x:c>
      <x:c r="E28" s="18" t="n">
        <x:v>0.0146875</x:v>
      </x:c>
      <x:c r="F28" s="16" t="str">
        <x:v>planning/backlog</x:v>
      </x:c>
      <x:c r="G28" s="17" t="b">
        <x:v>0</x:v>
      </x:c>
      <x:c r="H28" s="16" t="str">
        <x:v>https://app.clickup.com/t/86d38tftn</x:v>
      </x:c>
    </x:row>
    <x:row r="29">
      <x:c r="A29" s="26" t="str">
        <x:v>Total Accomplished</x:v>
      </x:c>
      <x:c r="B29" s="26" t="str"/>
      <x:c r="C29" s="26" t="str"/>
      <x:c r="D29" s="26" t="str"/>
      <x:c r="E29" s="27" t="n">
        <x:f>SUM(E28:E28)</x:f>
        <x:v>0.0146875</x:v>
      </x:c>
      <x:c r="F29" s="27" t="str"/>
      <x:c r="G29" s="27" t="n">
        <x:f>SUMIF(G28:G28, TRUE, E28:E28)</x:f>
        <x:v>0</x:v>
      </x:c>
      <x:c r="H29" s="26" t="str"/>
    </x:row>
    <x:row r="31">
      <x:c r="A31" s="4" t="str">
        <x:v>Task ID</x:v>
      </x:c>
      <x:c r="B31" s="4" t="str">
        <x:v>ANALYTICSAPI</x:v>
      </x:c>
      <x:c r="C31" s="4" t="str">
        <x:v>Task Name</x:v>
      </x:c>
      <x:c r="D31" s="4" t="str">
        <x:v>Analytics Result API</x:v>
      </x:c>
      <x:c r="E31" s="4" t="str"/>
      <x:c r="F31" s="4" t="str">
        <x:v>planning/backlog</x:v>
      </x:c>
      <x:c r="G31" s="4" t="str"/>
      <x:c r="H31" s="4" t="str">
        <x:v>https://app.clickup.com/t/86d38tg0q</x:v>
      </x:c>
    </x:row>
    <x:row r="32">
      <x:c r="A32" s="8" t="str">
        <x:v>Subtask ID</x:v>
      </x:c>
      <x:c r="B32" s="8" t="str">
        <x:v>Subtask / Task Name</x:v>
      </x:c>
      <x:c r="C32" s="8" t="str">
        <x:v>Acceptance Criteria</x:v>
      </x:c>
      <x:c r="D32" s="8" t="str">
        <x:v>Evidence / Deliverable</x:v>
      </x:c>
      <x:c r="E32" s="8" t="str">
        <x:v>Weight Allocation</x:v>
      </x:c>
      <x:c r="F32" s="8" t="str">
        <x:v>ClickUp Status</x:v>
      </x:c>
      <x:c r="G32" s="8" t="str">
        <x:v>Accepted</x:v>
      </x:c>
      <x:c r="H32" s="8" t="str">
        <x:v>ClickUp URL</x:v>
      </x:c>
    </x:row>
    <x:row r="33">
      <x:c r="A33" s="16" t="str">
        <x:v>ANALYTICSAPI</x:v>
      </x:c>
      <x:c r="B33" s="16" t="str">
        <x:v>Analytics Result API</x:v>
      </x:c>
      <x:c r="C33" s="16" t="str">
        <x:v>Given the PAULUS Analytics Result API task is implemented, the feature should meet the approved capstone requirements and pass review against its expected behavior.</x:v>
      </x:c>
      <x:c r="D33" s="16" t="str">
        <x:v>ClickUp task evidence, implementation output, QA notes, screenshots, tests, or manuscript updates for Analytics Result API.</x:v>
      </x:c>
      <x:c r="E33" s="18" t="n">
        <x:v>0.0146875</x:v>
      </x:c>
      <x:c r="F33" s="16" t="str">
        <x:v>planning/backlog</x:v>
      </x:c>
      <x:c r="G33" s="17" t="b">
        <x:v>0</x:v>
      </x:c>
      <x:c r="H33" s="16" t="str">
        <x:v>https://app.clickup.com/t/86d38tg0q</x:v>
      </x:c>
    </x:row>
    <x:row r="34">
      <x:c r="A34" s="26" t="str">
        <x:v>Total Accomplished</x:v>
      </x:c>
      <x:c r="B34" s="26" t="str"/>
      <x:c r="C34" s="26" t="str"/>
      <x:c r="D34" s="26" t="str"/>
      <x:c r="E34" s="27" t="n">
        <x:f>SUM(E33:E33)</x:f>
        <x:v>0.0146875</x:v>
      </x:c>
      <x:c r="F34" s="27" t="str"/>
      <x:c r="G34" s="27" t="n">
        <x:f>SUMIF(G33:G33, TRUE, E33:E33)</x:f>
        <x:v>0</x:v>
      </x:c>
      <x:c r="H34" s="26" t="str"/>
    </x:row>
    <x:row r="36">
      <x:c r="A36" s="4" t="str">
        <x:v>Task ID</x:v>
      </x:c>
      <x:c r="B36" s="4" t="str">
        <x:v>REPORTAPI</x:v>
      </x:c>
      <x:c r="C36" s="4" t="str">
        <x:v>Task Name</x:v>
      </x:c>
      <x:c r="D36" s="4" t="str">
        <x:v>Report Generation API</x:v>
      </x:c>
      <x:c r="E36" s="4" t="str"/>
      <x:c r="F36" s="4" t="str">
        <x:v>planning/backlog</x:v>
      </x:c>
      <x:c r="G36" s="4" t="str"/>
      <x:c r="H36" s="4" t="str">
        <x:v>https://app.clickup.com/t/86d38tg14</x:v>
      </x:c>
    </x:row>
    <x:row r="37">
      <x:c r="A37" s="8" t="str">
        <x:v>Subtask ID</x:v>
      </x:c>
      <x:c r="B37" s="8" t="str">
        <x:v>Subtask / Task Name</x:v>
      </x:c>
      <x:c r="C37" s="8" t="str">
        <x:v>Acceptance Criteria</x:v>
      </x:c>
      <x:c r="D37" s="8" t="str">
        <x:v>Evidence / Deliverable</x:v>
      </x:c>
      <x:c r="E37" s="8" t="str">
        <x:v>Weight Allocation</x:v>
      </x:c>
      <x:c r="F37" s="8" t="str">
        <x:v>ClickUp Status</x:v>
      </x:c>
      <x:c r="G37" s="8" t="str">
        <x:v>Accepted</x:v>
      </x:c>
      <x:c r="H37" s="8" t="str">
        <x:v>ClickUp URL</x:v>
      </x:c>
    </x:row>
    <x:row r="38">
      <x:c r="A38" s="16" t="str">
        <x:v>REPORTAPI</x:v>
      </x:c>
      <x:c r="B38" s="16" t="str">
        <x:v>Report Generation API</x:v>
      </x:c>
      <x:c r="C38" s="16" t="str">
        <x:v>Given the PAULUS Report Generation API task is implemented, the feature should meet the approved capstone requirements and pass review against its expected behavior.</x:v>
      </x:c>
      <x:c r="D38" s="16" t="str">
        <x:v>ClickUp task evidence, implementation output, QA notes, screenshots, tests, or manuscript updates for Report Generation API.</x:v>
      </x:c>
      <x:c r="E38" s="18" t="n">
        <x:v>0.0146875</x:v>
      </x:c>
      <x:c r="F38" s="16" t="str">
        <x:v>planning/backlog</x:v>
      </x:c>
      <x:c r="G38" s="17" t="b">
        <x:v>0</x:v>
      </x:c>
      <x:c r="H38" s="16" t="str">
        <x:v>https://app.clickup.com/t/86d38tg14</x:v>
      </x:c>
    </x:row>
    <x:row r="39">
      <x:c r="A39" s="26" t="str">
        <x:v>Total Accomplished</x:v>
      </x:c>
      <x:c r="B39" s="26" t="str"/>
      <x:c r="C39" s="26" t="str"/>
      <x:c r="D39" s="26" t="str"/>
      <x:c r="E39" s="27" t="n">
        <x:f>SUM(E38:E38)</x:f>
        <x:v>0.0146875</x:v>
      </x:c>
      <x:c r="F39" s="27" t="str"/>
      <x:c r="G39" s="27" t="n">
        <x:f>SUMIF(G38:G38, TRUE, E38:E38)</x:f>
        <x:v>0</x:v>
      </x:c>
      <x:c r="H39" s="26" t="str"/>
    </x:row>
    <x:row r="41">
      <x:c r="A41" s="4" t="str">
        <x:v>Task ID</x:v>
      </x:c>
      <x:c r="B41" s="4" t="str">
        <x:v>BUDGETAPI</x:v>
      </x:c>
      <x:c r="C41" s="4" t="str">
        <x:v>Task Name</x:v>
      </x:c>
      <x:c r="D41" s="4" t="str">
        <x:v>Budget API and Validation</x:v>
      </x:c>
      <x:c r="E41" s="4" t="str"/>
      <x:c r="F41" s="4" t="str">
        <x:v>planning/backlog</x:v>
      </x:c>
      <x:c r="G41" s="4" t="str"/>
      <x:c r="H41" s="4" t="str">
        <x:v>https://app.clickup.com/t/86d3bw6g7</x:v>
      </x:c>
    </x:row>
    <x:row r="42">
      <x:c r="A42" s="8" t="str">
        <x:v>Subtask ID</x:v>
      </x:c>
      <x:c r="B42" s="8" t="str">
        <x:v>Subtask / Task Name</x:v>
      </x:c>
      <x:c r="C42" s="8" t="str">
        <x:v>Acceptance Criteria</x:v>
      </x:c>
      <x:c r="D42" s="8" t="str">
        <x:v>Evidence / Deliverable</x:v>
      </x:c>
      <x:c r="E42" s="8" t="str">
        <x:v>Weight Allocation</x:v>
      </x:c>
      <x:c r="F42" s="8" t="str">
        <x:v>ClickUp Status</x:v>
      </x:c>
      <x:c r="G42" s="8" t="str">
        <x:v>Accepted</x:v>
      </x:c>
      <x:c r="H42" s="8" t="str">
        <x:v>ClickUp URL</x:v>
      </x:c>
    </x:row>
    <x:row r="43">
      <x:c r="A43" s="16" t="str">
        <x:v>BUDGETAPI</x:v>
      </x:c>
      <x:c r="B43" s="16" t="str">
        <x:v>Budget API and Validation</x:v>
      </x:c>
      <x:c r="C43" s="16" t="str">
        <x:v>Given the PAULUS Budget API and Validation task is implemented, the feature should meet the approved capstone requirements and pass review against its expected behavior.</x:v>
      </x:c>
      <x:c r="D43" s="16" t="str">
        <x:v>ClickUp task evidence, implementation output, QA notes, screenshots, tests, or manuscript updates for Budget API and Validation.</x:v>
      </x:c>
      <x:c r="E43" s="18" t="n">
        <x:v>0.0146875</x:v>
      </x:c>
      <x:c r="F43" s="16" t="str">
        <x:v>planning/backlog</x:v>
      </x:c>
      <x:c r="G43" s="17" t="b">
        <x:v>0</x:v>
      </x:c>
      <x:c r="H43" s="16" t="str">
        <x:v>https://app.clickup.com/t/86d3bw6g7</x:v>
      </x:c>
    </x:row>
    <x:row r="44">
      <x:c r="A44" s="26" t="str">
        <x:v>Total Accomplished</x:v>
      </x:c>
      <x:c r="B44" s="26" t="str"/>
      <x:c r="C44" s="26" t="str"/>
      <x:c r="D44" s="26" t="str"/>
      <x:c r="E44" s="27" t="n">
        <x:f>SUM(E43:E43)</x:f>
        <x:v>0.0146875</x:v>
      </x:c>
      <x:c r="F44" s="27" t="str"/>
      <x:c r="G44" s="27" t="n">
        <x:f>SUMIF(G43:G43, TRUE, E43:E43)</x:f>
        <x:v>0</x:v>
      </x:c>
      <x:c r="H44" s="26" t="str"/>
    </x:row>
    <x:row r="46">
      <x:c r="A46" s="4" t="str">
        <x:v>Task ID</x:v>
      </x:c>
      <x:c r="B46" s="4" t="str">
        <x:v>EVENTAPI</x:v>
      </x:c>
      <x:c r="C46" s="4" t="str">
        <x:v>Task Name</x:v>
      </x:c>
      <x:c r="D46" s="4" t="str">
        <x:v>Events API</x:v>
      </x:c>
      <x:c r="E46" s="4" t="str"/>
      <x:c r="F46" s="4" t="str">
        <x:v>planning/backlog</x:v>
      </x:c>
      <x:c r="G46" s="4" t="str"/>
      <x:c r="H46" s="4" t="str">
        <x:v>https://app.clickup.com/t/86d3bw6hb</x:v>
      </x:c>
    </x:row>
    <x:row r="47">
      <x:c r="A47" s="8" t="str">
        <x:v>Subtask ID</x:v>
      </x:c>
      <x:c r="B47" s="8" t="str">
        <x:v>Subtask / Task Name</x:v>
      </x:c>
      <x:c r="C47" s="8" t="str">
        <x:v>Acceptance Criteria</x:v>
      </x:c>
      <x:c r="D47" s="8" t="str">
        <x:v>Evidence / Deliverable</x:v>
      </x:c>
      <x:c r="E47" s="8" t="str">
        <x:v>Weight Allocation</x:v>
      </x:c>
      <x:c r="F47" s="8" t="str">
        <x:v>ClickUp Status</x:v>
      </x:c>
      <x:c r="G47" s="8" t="str">
        <x:v>Accepted</x:v>
      </x:c>
      <x:c r="H47" s="8" t="str">
        <x:v>ClickUp URL</x:v>
      </x:c>
    </x:row>
    <x:row r="48">
      <x:c r="A48" s="16" t="str">
        <x:v>EVENTAPI</x:v>
      </x:c>
      <x:c r="B48" s="16" t="str">
        <x:v>Events API</x:v>
      </x:c>
      <x:c r="C48" s="16" t="str">
        <x:v>Given the PAULUS Events API task is implemented, the feature should meet the approved capstone requirements and pass review against its expected behavior.</x:v>
      </x:c>
      <x:c r="D48" s="16" t="str">
        <x:v>ClickUp task evidence, implementation output, QA notes, screenshots, tests, or manuscript updates for Events API.</x:v>
      </x:c>
      <x:c r="E48" s="18" t="n">
        <x:v>0.0146875</x:v>
      </x:c>
      <x:c r="F48" s="16" t="str">
        <x:v>planning/backlog</x:v>
      </x:c>
      <x:c r="G48" s="17" t="b">
        <x:v>0</x:v>
      </x:c>
      <x:c r="H48" s="16" t="str">
        <x:v>https://app.clickup.com/t/86d3bw6hb</x:v>
      </x:c>
    </x:row>
    <x:row r="49">
      <x:c r="A49" s="26" t="str">
        <x:v>Total Accomplished</x:v>
      </x:c>
      <x:c r="B49" s="26" t="str"/>
      <x:c r="C49" s="26" t="str"/>
      <x:c r="D49" s="26" t="str"/>
      <x:c r="E49" s="27" t="n">
        <x:f>SUM(E48:E48)</x:f>
        <x:v>0.0146875</x:v>
      </x:c>
      <x:c r="F49" s="27" t="str"/>
      <x:c r="G49" s="27" t="n">
        <x:f>SUMIF(G48:G48, TRUE, E48:E48)</x:f>
        <x:v>0</x:v>
      </x:c>
      <x:c r="H49" s="26" t="str"/>
    </x:row>
    <x:row r="51">
      <x:c r="A51" s="4" t="str">
        <x:v>Task ID</x:v>
      </x:c>
      <x:c r="B51" s="4" t="str">
        <x:v>NOTIFAPI</x:v>
      </x:c>
      <x:c r="C51" s="4" t="str">
        <x:v>Task Name</x:v>
      </x:c>
      <x:c r="D51" s="4" t="str">
        <x:v>Notification API and Read-State Logic</x:v>
      </x:c>
      <x:c r="E51" s="4" t="str"/>
      <x:c r="F51" s="4" t="str">
        <x:v>planning/backlog</x:v>
      </x:c>
      <x:c r="G51" s="4" t="str"/>
      <x:c r="H51" s="4" t="str">
        <x:v>https://app.clickup.com/t/86d3bw6ja</x:v>
      </x:c>
    </x:row>
    <x:row r="52">
      <x:c r="A52" s="8" t="str">
        <x:v>Subtask ID</x:v>
      </x:c>
      <x:c r="B52" s="8" t="str">
        <x:v>Subtask / Task Name</x:v>
      </x:c>
      <x:c r="C52" s="8" t="str">
        <x:v>Acceptance Criteria</x:v>
      </x:c>
      <x:c r="D52" s="8" t="str">
        <x:v>Evidence / Deliverable</x:v>
      </x:c>
      <x:c r="E52" s="8" t="str">
        <x:v>Weight Allocation</x:v>
      </x:c>
      <x:c r="F52" s="8" t="str">
        <x:v>ClickUp Status</x:v>
      </x:c>
      <x:c r="G52" s="8" t="str">
        <x:v>Accepted</x:v>
      </x:c>
      <x:c r="H52" s="8" t="str">
        <x:v>ClickUp URL</x:v>
      </x:c>
    </x:row>
    <x:row r="53">
      <x:c r="A53" s="16" t="str">
        <x:v>NOTIFAPI</x:v>
      </x:c>
      <x:c r="B53" s="16" t="str">
        <x:v>Notification API and Read-State Logic</x:v>
      </x:c>
      <x:c r="C53" s="16" t="str">
        <x:v>Given the PAULUS Notification API and Read-State Logic task is implemented, the feature should meet the approved capstone requirements and pass review against its expected behavior.</x:v>
      </x:c>
      <x:c r="D53" s="16" t="str">
        <x:v>ClickUp task evidence, implementation output, QA notes, screenshots, tests, or manuscript updates for Notification API and Read-State Logic.</x:v>
      </x:c>
      <x:c r="E53" s="18" t="n">
        <x:v>0.0146875</x:v>
      </x:c>
      <x:c r="F53" s="16" t="str">
        <x:v>planning/backlog</x:v>
      </x:c>
      <x:c r="G53" s="17" t="b">
        <x:v>0</x:v>
      </x:c>
      <x:c r="H53" s="16" t="str">
        <x:v>https://app.clickup.com/t/86d3bw6ja</x:v>
      </x:c>
    </x:row>
    <x:row r="54">
      <x:c r="A54" s="26" t="str">
        <x:v>Total Accomplished</x:v>
      </x:c>
      <x:c r="B54" s="26" t="str"/>
      <x:c r="C54" s="26" t="str"/>
      <x:c r="D54" s="26" t="str"/>
      <x:c r="E54" s="27" t="n">
        <x:f>SUM(E53:E53)</x:f>
        <x:v>0.0146875</x:v>
      </x:c>
      <x:c r="F54" s="27" t="str"/>
      <x:c r="G54" s="27" t="n">
        <x:f>SUMIF(G53:G53, TRUE, E53:E53)</x:f>
        <x:v>0</x:v>
      </x:c>
      <x:c r="H54" s="26" t="str"/>
    </x:row>
    <x:row r="56">
      <x:c r="A56" s="4" t="str">
        <x:v>Task ID</x:v>
      </x:c>
      <x:c r="B56" s="4" t="str">
        <x:v>ARCHIVEAPI</x:v>
      </x:c>
      <x:c r="C56" s="4" t="str">
        <x:v>Task Name</x:v>
      </x:c>
      <x:c r="D56" s="4" t="str">
        <x:v>Archive and Restore API</x:v>
      </x:c>
      <x:c r="E56" s="4" t="str"/>
      <x:c r="F56" s="4" t="str">
        <x:v>planning/backlog</x:v>
      </x:c>
      <x:c r="G56" s="4" t="str"/>
      <x:c r="H56" s="4" t="str">
        <x:v>https://app.clickup.com/t/86d3bw6kh</x:v>
      </x:c>
    </x:row>
    <x:row r="57">
      <x:c r="A57" s="8" t="str">
        <x:v>Subtask ID</x:v>
      </x:c>
      <x:c r="B57" s="8" t="str">
        <x:v>Subtask / Task Name</x:v>
      </x:c>
      <x:c r="C57" s="8" t="str">
        <x:v>Acceptance Criteria</x:v>
      </x:c>
      <x:c r="D57" s="8" t="str">
        <x:v>Evidence / Deliverable</x:v>
      </x:c>
      <x:c r="E57" s="8" t="str">
        <x:v>Weight Allocation</x:v>
      </x:c>
      <x:c r="F57" s="8" t="str">
        <x:v>ClickUp Status</x:v>
      </x:c>
      <x:c r="G57" s="8" t="str">
        <x:v>Accepted</x:v>
      </x:c>
      <x:c r="H57" s="8" t="str">
        <x:v>ClickUp URL</x:v>
      </x:c>
    </x:row>
    <x:row r="58">
      <x:c r="A58" s="16" t="str">
        <x:v>ARCHIVEAPI</x:v>
      </x:c>
      <x:c r="B58" s="16" t="str">
        <x:v>Archive and Restore API</x:v>
      </x:c>
      <x:c r="C58" s="16" t="str">
        <x:v>Given the PAULUS Archive and Restore API task is implemented, the feature should meet the approved capstone requirements and pass review against its expected behavior.</x:v>
      </x:c>
      <x:c r="D58" s="16" t="str">
        <x:v>ClickUp task evidence, implementation output, QA notes, screenshots, tests, or manuscript updates for Archive and Restore API.</x:v>
      </x:c>
      <x:c r="E58" s="18" t="n">
        <x:v>0.0146875</x:v>
      </x:c>
      <x:c r="F58" s="16" t="str">
        <x:v>planning/backlog</x:v>
      </x:c>
      <x:c r="G58" s="17" t="b">
        <x:v>0</x:v>
      </x:c>
      <x:c r="H58" s="16" t="str">
        <x:v>https://app.clickup.com/t/86d3bw6kh</x:v>
      </x:c>
    </x:row>
    <x:row r="59">
      <x:c r="A59" s="26" t="str">
        <x:v>Total Accomplished</x:v>
      </x:c>
      <x:c r="B59" s="26" t="str"/>
      <x:c r="C59" s="26" t="str"/>
      <x:c r="D59" s="26" t="str"/>
      <x:c r="E59" s="27" t="n">
        <x:f>SUM(E58:E58)</x:f>
        <x:v>0.0146875</x:v>
      </x:c>
      <x:c r="F59" s="27" t="str"/>
      <x:c r="G59" s="27" t="n">
        <x:f>SUMIF(G58:G58, TRUE, E58:E58)</x:f>
        <x:v>0</x:v>
      </x:c>
      <x:c r="H59" s="26" t="str"/>
    </x:row>
    <x:row r="61">
      <x:c r="A61" s="4" t="str">
        <x:v>Task ID</x:v>
      </x:c>
      <x:c r="B61" s="4" t="str">
        <x:v>FINBACKUPAPI</x:v>
      </x:c>
      <x:c r="C61" s="4" t="str">
        <x:v>Task Name</x:v>
      </x:c>
      <x:c r="D61" s="4" t="str">
        <x:v>Financial Backup Input API</x:v>
      </x:c>
      <x:c r="E61" s="4" t="str"/>
      <x:c r="F61" s="4" t="str">
        <x:v>planning/backlog</x:v>
      </x:c>
      <x:c r="G61" s="4" t="str"/>
      <x:c r="H61" s="4" t="str">
        <x:v>https://app.clickup.com/t/86d3bw6rv</x:v>
      </x:c>
    </x:row>
    <x:row r="62">
      <x:c r="A62" s="8" t="str">
        <x:v>Subtask ID</x:v>
      </x:c>
      <x:c r="B62" s="8" t="str">
        <x:v>Subtask / Task Name</x:v>
      </x:c>
      <x:c r="C62" s="8" t="str">
        <x:v>Acceptance Criteria</x:v>
      </x:c>
      <x:c r="D62" s="8" t="str">
        <x:v>Evidence / Deliverable</x:v>
      </x:c>
      <x:c r="E62" s="8" t="str">
        <x:v>Weight Allocation</x:v>
      </x:c>
      <x:c r="F62" s="8" t="str">
        <x:v>ClickUp Status</x:v>
      </x:c>
      <x:c r="G62" s="8" t="str">
        <x:v>Accepted</x:v>
      </x:c>
      <x:c r="H62" s="8" t="str">
        <x:v>ClickUp URL</x:v>
      </x:c>
    </x:row>
    <x:row r="63">
      <x:c r="A63" s="16" t="str">
        <x:v>FINBACKUPAPI</x:v>
      </x:c>
      <x:c r="B63" s="16" t="str">
        <x:v>Financial Backup Input API</x:v>
      </x:c>
      <x:c r="C63" s="16" t="str">
        <x:v>Given the PAULUS Financial Backup Input API task is implemented, the feature should meet the approved capstone requirements and pass review against its expected behavior.</x:v>
      </x:c>
      <x:c r="D63" s="16" t="str">
        <x:v>ClickUp task evidence, implementation output, QA notes, screenshots, tests, or manuscript updates for Financial Backup Input API.</x:v>
      </x:c>
      <x:c r="E63" s="18" t="n">
        <x:v>0.0146875</x:v>
      </x:c>
      <x:c r="F63" s="16" t="str">
        <x:v>planning/backlog</x:v>
      </x:c>
      <x:c r="G63" s="17" t="b">
        <x:v>0</x:v>
      </x:c>
      <x:c r="H63" s="16" t="str">
        <x:v>https://app.clickup.com/t/86d3bw6rv</x:v>
      </x:c>
    </x:row>
    <x:row r="64">
      <x:c r="A64" s="26" t="str">
        <x:v>Total Accomplished</x:v>
      </x:c>
      <x:c r="B64" s="26" t="str"/>
      <x:c r="C64" s="26" t="str"/>
      <x:c r="D64" s="26" t="str"/>
      <x:c r="E64" s="27" t="n">
        <x:f>SUM(E63:E63)</x:f>
        <x:v>0.0146875</x:v>
      </x:c>
      <x:c r="F64" s="27" t="str"/>
      <x:c r="G64" s="27" t="n">
        <x:f>SUMIF(G63:G63, TRUE, E63:E63)</x:f>
        <x:v>0</x:v>
      </x:c>
      <x:c r="H64" s="26" t="str"/>
    </x:row>
    <x:row r="66">
      <x:c r="A66" s="4" t="str">
        <x:v>Task ID</x:v>
      </x:c>
      <x:c r="B66" s="4" t="str">
        <x:v>CHATAPI</x:v>
      </x:c>
      <x:c r="C66" s="4" t="str">
        <x:v>Task Name</x:v>
      </x:c>
      <x:c r="D66" s="4" t="str">
        <x:v>AI Chatbot API</x:v>
      </x:c>
      <x:c r="E66" s="4" t="str"/>
      <x:c r="F66" s="4" t="str">
        <x:v>planning/backlog</x:v>
      </x:c>
      <x:c r="G66" s="4" t="str"/>
      <x:c r="H66" s="4" t="str">
        <x:v>https://app.clickup.com/t/86d38tg1f</x:v>
      </x:c>
    </x:row>
    <x:row r="67">
      <x:c r="A67" s="8" t="str">
        <x:v>Subtask ID</x:v>
      </x:c>
      <x:c r="B67" s="8" t="str">
        <x:v>Subtask / Task Name</x:v>
      </x:c>
      <x:c r="C67" s="8" t="str">
        <x:v>Acceptance Criteria</x:v>
      </x:c>
      <x:c r="D67" s="8" t="str">
        <x:v>Evidence / Deliverable</x:v>
      </x:c>
      <x:c r="E67" s="8" t="str">
        <x:v>Weight Allocation</x:v>
      </x:c>
      <x:c r="F67" s="8" t="str">
        <x:v>ClickUp Status</x:v>
      </x:c>
      <x:c r="G67" s="8" t="str">
        <x:v>Accepted</x:v>
      </x:c>
      <x:c r="H67" s="8" t="str">
        <x:v>ClickUp URL</x:v>
      </x:c>
    </x:row>
    <x:row r="68">
      <x:c r="A68" s="16" t="str">
        <x:v>CHATAPI</x:v>
      </x:c>
      <x:c r="B68" s="16" t="str">
        <x:v>AI Chatbot API</x:v>
      </x:c>
      <x:c r="C68" s="16" t="str">
        <x:v>Given the PAULUS AI Chatbot API task is implemented, the feature should meet the approved capstone requirements and pass review against its expected behavior.</x:v>
      </x:c>
      <x:c r="D68" s="16" t="str">
        <x:v>ClickUp task evidence, implementation output, QA notes, screenshots, tests, or manuscript updates for AI Chatbot API.</x:v>
      </x:c>
      <x:c r="E68" s="18" t="n">
        <x:v>0.0146875</x:v>
      </x:c>
      <x:c r="F68" s="16" t="str">
        <x:v>planning/backlog</x:v>
      </x:c>
      <x:c r="G68" s="17" t="b">
        <x:v>0</x:v>
      </x:c>
      <x:c r="H68" s="16" t="str">
        <x:v>https://app.clickup.com/t/86d38tg1f</x:v>
      </x:c>
    </x:row>
    <x:row r="69">
      <x:c r="A69" s="26" t="str">
        <x:v>Total Accomplished</x:v>
      </x:c>
      <x:c r="B69" s="26" t="str"/>
      <x:c r="C69" s="26" t="str"/>
      <x:c r="D69" s="26" t="str"/>
      <x:c r="E69" s="27" t="n">
        <x:f>SUM(E68:E68)</x:f>
        <x:v>0.0146875</x:v>
      </x:c>
      <x:c r="F69" s="27" t="str"/>
      <x:c r="G69" s="27" t="n">
        <x:f>SUMIF(G68:G68, TRUE, E68:E68)</x:f>
        <x:v>0</x:v>
      </x:c>
      <x:c r="H69" s="26" t="str"/>
    </x:row>
    <x:row r="71">
      <x:c r="A71" s="4" t="str">
        <x:v>Task ID</x:v>
      </x:c>
      <x:c r="B71" s="4" t="str">
        <x:v>PRSTAPI</x:v>
      </x:c>
      <x:c r="C71" s="4" t="str">
        <x:v>Task Name</x:v>
      </x:c>
      <x:c r="D71" s="4" t="str">
        <x:v>Priest Health Records API</x:v>
      </x:c>
      <x:c r="E71" s="4" t="str"/>
      <x:c r="F71" s="4" t="str">
        <x:v>in progress</x:v>
      </x:c>
      <x:c r="G71" s="4" t="str"/>
      <x:c r="H71" s="4" t="str">
        <x:v>https://app.clickup.com/t/86d38tg03</x:v>
      </x:c>
    </x:row>
    <x:row r="72">
      <x:c r="A72" s="8" t="str">
        <x:v>Subtask ID</x:v>
      </x:c>
      <x:c r="B72" s="8" t="str">
        <x:v>Subtask / Task Name</x:v>
      </x:c>
      <x:c r="C72" s="8" t="str">
        <x:v>Acceptance Criteria</x:v>
      </x:c>
      <x:c r="D72" s="8" t="str">
        <x:v>Evidence / Deliverable</x:v>
      </x:c>
      <x:c r="E72" s="8" t="str">
        <x:v>Weight Allocation</x:v>
      </x:c>
      <x:c r="F72" s="8" t="str">
        <x:v>ClickUp Status</x:v>
      </x:c>
      <x:c r="G72" s="8" t="str">
        <x:v>Accepted</x:v>
      </x:c>
      <x:c r="H72" s="8" t="str">
        <x:v>ClickUp URL</x:v>
      </x:c>
    </x:row>
    <x:row r="73">
      <x:c r="A73" s="16" t="str">
        <x:v>PRSTAPI</x:v>
      </x:c>
      <x:c r="B73" s="16" t="str">
        <x:v>Priest Health Records API</x:v>
      </x:c>
      <x:c r="C73" s="16" t="str">
        <x:v>Given the PAULUS Priest Health Records API task is implemented, the feature should meet the approved capstone requirements and pass review against its expected behavior.</x:v>
      </x:c>
      <x:c r="D73" s="16" t="str">
        <x:v>ClickUp task evidence, implementation output, QA notes, screenshots, tests, or manuscript updates for Priest Health Records API.</x:v>
      </x:c>
      <x:c r="E73" s="18" t="n">
        <x:v>0.0146875</x:v>
      </x:c>
      <x:c r="F73" s="16" t="str">
        <x:v>in progress</x:v>
      </x:c>
      <x:c r="G73" s="17" t="b">
        <x:v>0</x:v>
      </x:c>
      <x:c r="H73" s="16" t="str">
        <x:v>https://app.clickup.com/t/86d38tg03</x:v>
      </x:c>
    </x:row>
    <x:row r="74">
      <x:c r="A74" s="26" t="str">
        <x:v>Total Accomplished</x:v>
      </x:c>
      <x:c r="B74" s="26" t="str"/>
      <x:c r="C74" s="26" t="str"/>
      <x:c r="D74" s="26" t="str"/>
      <x:c r="E74" s="27" t="n">
        <x:f>SUM(E73:E73)</x:f>
        <x:v>0.0146875</x:v>
      </x:c>
      <x:c r="F74" s="27" t="str"/>
      <x:c r="G74" s="27" t="n">
        <x:f>SUMIF(G73:G73, TRUE, E73:E73)</x:f>
        <x:v>0</x:v>
      </x:c>
      <x:c r="H74" s="26" t="str"/>
    </x:row>
    <x:row r="76">
      <x:c r="A76" s="4" t="str">
        <x:v>Task ID</x:v>
      </x:c>
      <x:c r="B76" s="4" t="str">
        <x:v>AUDIT</x:v>
      </x:c>
      <x:c r="C76" s="4" t="str">
        <x:v>Task Name</x:v>
      </x:c>
      <x:c r="D76" s="4" t="str">
        <x:v>Audit Trail and Activity Log API</x:v>
      </x:c>
      <x:c r="E76" s="4" t="str"/>
      <x:c r="F76" s="4" t="str">
        <x:v>ready for work</x:v>
      </x:c>
      <x:c r="G76" s="4" t="str"/>
      <x:c r="H76" s="4" t="str">
        <x:v>https://app.clickup.com/t/86d38tg1r</x:v>
      </x:c>
    </x:row>
    <x:row r="77">
      <x:c r="A77" s="8" t="str">
        <x:v>Subtask ID</x:v>
      </x:c>
      <x:c r="B77" s="8" t="str">
        <x:v>Subtask / Task Name</x:v>
      </x:c>
      <x:c r="C77" s="8" t="str">
        <x:v>Acceptance Criteria</x:v>
      </x:c>
      <x:c r="D77" s="8" t="str">
        <x:v>Evidence / Deliverable</x:v>
      </x:c>
      <x:c r="E77" s="8" t="str">
        <x:v>Weight Allocation</x:v>
      </x:c>
      <x:c r="F77" s="8" t="str">
        <x:v>ClickUp Status</x:v>
      </x:c>
      <x:c r="G77" s="8" t="str">
        <x:v>Accepted</x:v>
      </x:c>
      <x:c r="H77" s="8" t="str">
        <x:v>ClickUp URL</x:v>
      </x:c>
    </x:row>
    <x:row r="78">
      <x:c r="A78" s="16" t="str">
        <x:v>AUDIT</x:v>
      </x:c>
      <x:c r="B78" s="16" t="str">
        <x:v>Audit Trail and Activity Log API</x:v>
      </x:c>
      <x:c r="C78" s="16" t="str">
        <x:v>Given the PAULUS Audit Trail and Activity Log API task is implemented, the feature should meet the approved capstone requirements and pass review against its expected behavior.</x:v>
      </x:c>
      <x:c r="D78" s="16" t="str">
        <x:v>ClickUp task evidence, implementation output, QA notes, screenshots, tests, or manuscript updates for Audit Trail and Activity Log API.</x:v>
      </x:c>
      <x:c r="E78" s="18" t="n">
        <x:v>0.0146875</x:v>
      </x:c>
      <x:c r="F78" s="16" t="str">
        <x:v>ready for work</x:v>
      </x:c>
      <x:c r="G78" s="17" t="b">
        <x:v>0</x:v>
      </x:c>
      <x:c r="H78" s="16" t="str">
        <x:v>https://app.clickup.com/t/86d38tg1r</x:v>
      </x:c>
    </x:row>
    <x:row r="79">
      <x:c r="A79" s="26" t="str">
        <x:v>Total Accomplished</x:v>
      </x:c>
      <x:c r="B79" s="26" t="str"/>
      <x:c r="C79" s="26" t="str"/>
      <x:c r="D79" s="26" t="str"/>
      <x:c r="E79" s="27" t="n">
        <x:f>SUM(E78:E78)</x:f>
        <x:v>0.0146875</x:v>
      </x:c>
      <x:c r="F79" s="27" t="str"/>
      <x:c r="G79" s="27" t="n">
        <x:f>SUMIF(G78:G78, TRUE, E78:E78)</x:f>
        <x:v>0</x:v>
      </x:c>
      <x:c r="H79" s="26" t="str"/>
    </x:row>
    <x:row r="82">
      <x:c r="A82" s="34" t="str">
        <x:v>Module Accomplishment</x:v>
      </x:c>
      <x:c r="B82" s="34" t="str">
        <x:v>MOD-BE</x:v>
      </x:c>
      <x:c r="C82" s="34" t="str">
        <x:v>Backend and API Services</x:v>
      </x:c>
      <x:c r="D82" s="34" t="str"/>
      <x:c r="E82" s="35" t="n">
        <x:v>0.235</x:v>
      </x:c>
      <x:c r="F82" s="35" t="str"/>
      <x:c r="G82" s="35" t="n">
        <x:f>SUM('MOD-BE'!G4,'MOD-BE'!G9,'MOD-BE'!G14,'MOD-BE'!G19,'MOD-BE'!G24,'MOD-BE'!G29,'MOD-BE'!G34,'MOD-BE'!G39,'MOD-BE'!G44,'MOD-BE'!G49,'MOD-BE'!G54,'MOD-BE'!G59,'MOD-BE'!G64,'MOD-BE'!G69,'MOD-BE'!G74,'MOD-BE'!G79)</x:f>
        <x:v>0</x:v>
      </x:c>
      <x:c r="H82" s="34" t="str"/>
    </x:row>
  </x:sheetData>
  <x:dataValidations count="16">
    <x:dataValidation type="list" sqref="G3">
      <x:formula1>"TRUE,FALSE"</x:formula1>
    </x:dataValidation>
    <x:dataValidation type="list" sqref="G8">
      <x:formula1>"TRUE,FALSE"</x:formula1>
    </x:dataValidation>
    <x:dataValidation type="list" sqref="G13">
      <x:formula1>"TRUE,FALSE"</x:formula1>
    </x:dataValidation>
    <x:dataValidation type="list" sqref="G18">
      <x:formula1>"TRUE,FALSE"</x:formula1>
    </x:dataValidation>
    <x:dataValidation type="list" sqref="G23">
      <x:formula1>"TRUE,FALSE"</x:formula1>
    </x:dataValidation>
    <x:dataValidation type="list" sqref="G28">
      <x:formula1>"TRUE,FALSE"</x:formula1>
    </x:dataValidation>
    <x:dataValidation type="list" sqref="G33">
      <x:formula1>"TRUE,FALSE"</x:formula1>
    </x:dataValidation>
    <x:dataValidation type="list" sqref="G38">
      <x:formula1>"TRUE,FALSE"</x:formula1>
    </x:dataValidation>
    <x:dataValidation type="list" sqref="G43">
      <x:formula1>"TRUE,FALSE"</x:formula1>
    </x:dataValidation>
    <x:dataValidation type="list" sqref="G48">
      <x:formula1>"TRUE,FALSE"</x:formula1>
    </x:dataValidation>
    <x:dataValidation type="list" sqref="G53">
      <x:formula1>"TRUE,FALSE"</x:formula1>
    </x:dataValidation>
    <x:dataValidation type="list" sqref="G58">
      <x:formula1>"TRUE,FALSE"</x:formula1>
    </x:dataValidation>
    <x:dataValidation type="list" sqref="G63">
      <x:formula1>"TRUE,FALSE"</x:formula1>
    </x:dataValidation>
    <x:dataValidation type="list" sqref="G68">
      <x:formula1>"TRUE,FALSE"</x:formula1>
    </x:dataValidation>
    <x:dataValidation type="list" sqref="G73">
      <x:formula1>"TRUE,FALSE"</x:formula1>
    </x:dataValidation>
    <x:dataValidation type="list" sqref="G78">
      <x:formula1>"TRUE,FALSE"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32.5" hidden="0" customWidth="1"/>
    <x:col min="3" max="3" width="47.5" hidden="0" customWidth="1"/>
    <x:col min="4" max="4" width="42.5" hidden="0" customWidth="1"/>
    <x:col min="5" max="5" width="15" hidden="0" customWidth="1"/>
    <x:col min="6" max="6" width="16.8799991607666" hidden="0" customWidth="1"/>
    <x:col min="7" max="7" width="16.8799991607666" hidden="0" customWidth="1"/>
    <x:col min="8" max="8" width="28.75" hidden="0" customWidth="1"/>
  </x:cols>
  <x:sheetData>
    <x:row r="1">
      <x:c r="A1" s="4" t="str">
        <x:v>Task ID</x:v>
      </x:c>
      <x:c r="B1" s="4" t="str">
        <x:v>USERDB</x:v>
      </x:c>
      <x:c r="C1" s="4" t="str">
        <x:v>Task Name</x:v>
      </x:c>
      <x:c r="D1" s="4" t="str">
        <x:v>User and Role Tables</x:v>
      </x:c>
      <x:c r="E1" s="4" t="str"/>
      <x:c r="F1" s="4" t="str">
        <x:v>in progress</x:v>
      </x:c>
      <x:c r="G1" s="4" t="str"/>
      <x:c r="H1" s="4" t="str">
        <x:v>https://app.clickup.com/t/86d38tf0b</x:v>
      </x:c>
    </x:row>
    <x:row r="2">
      <x:c r="A2" s="8" t="str">
        <x:v>Subtask ID</x:v>
      </x:c>
      <x:c r="B2" s="8" t="str">
        <x:v>Subtask / Task Name</x:v>
      </x:c>
      <x:c r="C2" s="8" t="str">
        <x:v>Acceptance Criteria</x:v>
      </x:c>
      <x:c r="D2" s="8" t="str">
        <x:v>Evidence / Deliverable</x:v>
      </x:c>
      <x:c r="E2" s="8" t="str">
        <x:v>Weight Allocation</x:v>
      </x:c>
      <x:c r="F2" s="8" t="str">
        <x:v>ClickUp Status</x:v>
      </x:c>
      <x:c r="G2" s="8" t="str">
        <x:v>Accepted</x:v>
      </x:c>
      <x:c r="H2" s="8" t="str">
        <x:v>ClickUp URL</x:v>
      </x:c>
    </x:row>
    <x:row r="3">
      <x:c r="A3" s="16" t="str">
        <x:v>USERDB</x:v>
      </x:c>
      <x:c r="B3" s="16" t="str">
        <x:v>User and Role Tables</x:v>
      </x:c>
      <x:c r="C3" s="16" t="str">
        <x:v>Given the PAULUS User and Role Tables task is implemented, the feature should meet the approved capstone requirements and pass review against its expected behavior.</x:v>
      </x:c>
      <x:c r="D3" s="16" t="str">
        <x:v>ClickUp task evidence, implementation output, QA notes, screenshots, tests, or manuscript updates for User and Role Tables.</x:v>
      </x:c>
      <x:c r="E3" s="18" t="n">
        <x:v>0.008</x:v>
      </x:c>
      <x:c r="F3" s="16" t="str">
        <x:v>in progress</x:v>
      </x:c>
      <x:c r="G3" s="17" t="b">
        <x:v>0</x:v>
      </x:c>
      <x:c r="H3" s="16" t="str">
        <x:v>https://app.clickup.com/t/86d38tf0b</x:v>
      </x:c>
    </x:row>
    <x:row r="4">
      <x:c r="A4" s="26" t="str">
        <x:v>Total Accomplished</x:v>
      </x:c>
      <x:c r="B4" s="26" t="str"/>
      <x:c r="C4" s="26" t="str"/>
      <x:c r="D4" s="26" t="str"/>
      <x:c r="E4" s="27" t="n">
        <x:f>SUM(E3:E3)</x:f>
        <x:v>0.008</x:v>
      </x:c>
      <x:c r="F4" s="27" t="str"/>
      <x:c r="G4" s="27" t="n">
        <x:f>SUMIF(G3:G3, TRUE, E3:E3)</x:f>
        <x:v>0</x:v>
      </x:c>
      <x:c r="H4" s="26" t="str"/>
    </x:row>
    <x:row r="6">
      <x:c r="A6" s="4" t="str">
        <x:v>Task ID</x:v>
      </x:c>
      <x:c r="B6" s="4" t="str">
        <x:v>INSTDB</x:v>
      </x:c>
      <x:c r="C6" s="4" t="str">
        <x:v>Task Name</x:v>
      </x:c>
      <x:c r="D6" s="4" t="str">
        <x:v>Institution Tables</x:v>
      </x:c>
      <x:c r="E6" s="4" t="str"/>
      <x:c r="F6" s="4" t="str">
        <x:v>in progress</x:v>
      </x:c>
      <x:c r="G6" s="4" t="str"/>
      <x:c r="H6" s="4" t="str">
        <x:v>https://app.clickup.com/t/86d38tf2u</x:v>
      </x:c>
    </x:row>
    <x:row r="7">
      <x:c r="A7" s="8" t="str">
        <x:v>Subtask ID</x:v>
      </x:c>
      <x:c r="B7" s="8" t="str">
        <x:v>Subtask / Task Name</x:v>
      </x:c>
      <x:c r="C7" s="8" t="str">
        <x:v>Acceptance Criteria</x:v>
      </x:c>
      <x:c r="D7" s="8" t="str">
        <x:v>Evidence / Deliverable</x:v>
      </x:c>
      <x:c r="E7" s="8" t="str">
        <x:v>Weight Allocation</x:v>
      </x:c>
      <x:c r="F7" s="8" t="str">
        <x:v>ClickUp Status</x:v>
      </x:c>
      <x:c r="G7" s="8" t="str">
        <x:v>Accepted</x:v>
      </x:c>
      <x:c r="H7" s="8" t="str">
        <x:v>ClickUp URL</x:v>
      </x:c>
    </x:row>
    <x:row r="8">
      <x:c r="A8" s="16" t="str">
        <x:v>INSTDB</x:v>
      </x:c>
      <x:c r="B8" s="16" t="str">
        <x:v>Institution Tables</x:v>
      </x:c>
      <x:c r="C8" s="16" t="str">
        <x:v>Given the PAULUS Institution Tables task is implemented, the feature should meet the approved capstone requirements and pass review against its expected behavior.</x:v>
      </x:c>
      <x:c r="D8" s="16" t="str">
        <x:v>ClickUp task evidence, implementation output, QA notes, screenshots, tests, or manuscript updates for Institution Tables.</x:v>
      </x:c>
      <x:c r="E8" s="18" t="n">
        <x:v>0.008</x:v>
      </x:c>
      <x:c r="F8" s="16" t="str">
        <x:v>in progress</x:v>
      </x:c>
      <x:c r="G8" s="17" t="b">
        <x:v>0</x:v>
      </x:c>
      <x:c r="H8" s="16" t="str">
        <x:v>https://app.clickup.com/t/86d38tf2u</x:v>
      </x:c>
    </x:row>
    <x:row r="9">
      <x:c r="A9" s="26" t="str">
        <x:v>Total Accomplished</x:v>
      </x:c>
      <x:c r="B9" s="26" t="str"/>
      <x:c r="C9" s="26" t="str"/>
      <x:c r="D9" s="26" t="str"/>
      <x:c r="E9" s="27" t="n">
        <x:f>SUM(E8:E8)</x:f>
        <x:v>0.008</x:v>
      </x:c>
      <x:c r="F9" s="27" t="str"/>
      <x:c r="G9" s="27" t="n">
        <x:f>SUMIF(G8:G8, TRUE, E8:E8)</x:f>
        <x:v>0</x:v>
      </x:c>
      <x:c r="H9" s="26" t="str"/>
    </x:row>
    <x:row r="11">
      <x:c r="A11" s="4" t="str">
        <x:v>Task ID</x:v>
      </x:c>
      <x:c r="B11" s="4" t="str">
        <x:v>IAFRDB</x:v>
      </x:c>
      <x:c r="C11" s="4" t="str">
        <x:v>Task Name</x:v>
      </x:c>
      <x:c r="D11" s="4" t="str">
        <x:v>IAFR Data Tables</x:v>
      </x:c>
      <x:c r="E11" s="4" t="str"/>
      <x:c r="F11" s="4" t="str">
        <x:v>in progress</x:v>
      </x:c>
      <x:c r="G11" s="4" t="str"/>
      <x:c r="H11" s="4" t="str">
        <x:v>https://app.clickup.com/t/86d38tf3c</x:v>
      </x:c>
    </x:row>
    <x:row r="12">
      <x:c r="A12" s="8" t="str">
        <x:v>Subtask ID</x:v>
      </x:c>
      <x:c r="B12" s="8" t="str">
        <x:v>Subtask / Task Name</x:v>
      </x:c>
      <x:c r="C12" s="8" t="str">
        <x:v>Acceptance Criteria</x:v>
      </x:c>
      <x:c r="D12" s="8" t="str">
        <x:v>Evidence / Deliverable</x:v>
      </x:c>
      <x:c r="E12" s="8" t="str">
        <x:v>Weight Allocation</x:v>
      </x:c>
      <x:c r="F12" s="8" t="str">
        <x:v>ClickUp Status</x:v>
      </x:c>
      <x:c r="G12" s="8" t="str">
        <x:v>Accepted</x:v>
      </x:c>
      <x:c r="H12" s="8" t="str">
        <x:v>ClickUp URL</x:v>
      </x:c>
    </x:row>
    <x:row r="13">
      <x:c r="A13" s="16" t="str">
        <x:v>IAFRDB</x:v>
      </x:c>
      <x:c r="B13" s="16" t="str">
        <x:v>IAFR Data Tables</x:v>
      </x:c>
      <x:c r="C13" s="16" t="str">
        <x:v>Given the PAULUS IAFR Data Tables task is implemented, the feature should meet the approved capstone requirements and pass review against its expected behavior.</x:v>
      </x:c>
      <x:c r="D13" s="16" t="str">
        <x:v>ClickUp task evidence, implementation output, QA notes, screenshots, tests, or manuscript updates for IAFR Data Tables.</x:v>
      </x:c>
      <x:c r="E13" s="18" t="n">
        <x:v>0.008</x:v>
      </x:c>
      <x:c r="F13" s="16" t="str">
        <x:v>in progress</x:v>
      </x:c>
      <x:c r="G13" s="17" t="b">
        <x:v>0</x:v>
      </x:c>
      <x:c r="H13" s="16" t="str">
        <x:v>https://app.clickup.com/t/86d38tf3c</x:v>
      </x:c>
    </x:row>
    <x:row r="14">
      <x:c r="A14" s="26" t="str">
        <x:v>Total Accomplished</x:v>
      </x:c>
      <x:c r="B14" s="26" t="str"/>
      <x:c r="C14" s="26" t="str"/>
      <x:c r="D14" s="26" t="str"/>
      <x:c r="E14" s="27" t="n">
        <x:f>SUM(E13:E13)</x:f>
        <x:v>0.008</x:v>
      </x:c>
      <x:c r="F14" s="27" t="str"/>
      <x:c r="G14" s="27" t="n">
        <x:f>SUMIF(G13:G13, TRUE, E13:E13)</x:f>
        <x:v>0</x:v>
      </x:c>
      <x:c r="H14" s="26" t="str"/>
    </x:row>
    <x:row r="16">
      <x:c r="A16" s="4" t="str">
        <x:v>Task ID</x:v>
      </x:c>
      <x:c r="B16" s="4" t="str">
        <x:v>FSDB</x:v>
      </x:c>
      <x:c r="C16" s="4" t="str">
        <x:v>Task Name</x:v>
      </x:c>
      <x:c r="D16" s="4" t="str">
        <x:v>Financial Statement Tables</x:v>
      </x:c>
      <x:c r="E16" s="4" t="str"/>
      <x:c r="F16" s="4" t="str">
        <x:v>in progress</x:v>
      </x:c>
      <x:c r="G16" s="4" t="str"/>
      <x:c r="H16" s="4" t="str">
        <x:v>https://app.clickup.com/t/86d38tf7g</x:v>
      </x:c>
    </x:row>
    <x:row r="17">
      <x:c r="A17" s="8" t="str">
        <x:v>Subtask ID</x:v>
      </x:c>
      <x:c r="B17" s="8" t="str">
        <x:v>Subtask / Task Name</x:v>
      </x:c>
      <x:c r="C17" s="8" t="str">
        <x:v>Acceptance Criteria</x:v>
      </x:c>
      <x:c r="D17" s="8" t="str">
        <x:v>Evidence / Deliverable</x:v>
      </x:c>
      <x:c r="E17" s="8" t="str">
        <x:v>Weight Allocation</x:v>
      </x:c>
      <x:c r="F17" s="8" t="str">
        <x:v>ClickUp Status</x:v>
      </x:c>
      <x:c r="G17" s="8" t="str">
        <x:v>Accepted</x:v>
      </x:c>
      <x:c r="H17" s="8" t="str">
        <x:v>ClickUp URL</x:v>
      </x:c>
    </x:row>
    <x:row r="18">
      <x:c r="A18" s="16" t="str">
        <x:v>FSDB</x:v>
      </x:c>
      <x:c r="B18" s="16" t="str">
        <x:v>Financial Statement Tables</x:v>
      </x:c>
      <x:c r="C18" s="16" t="str">
        <x:v>Given the PAULUS Financial Statement Tables task is implemented, the feature should meet the approved capstone requirements and pass review against its expected behavior.</x:v>
      </x:c>
      <x:c r="D18" s="16" t="str">
        <x:v>ClickUp task evidence, implementation output, QA notes, screenshots, tests, or manuscript updates for Financial Statement Tables.</x:v>
      </x:c>
      <x:c r="E18" s="18" t="n">
        <x:v>0.008</x:v>
      </x:c>
      <x:c r="F18" s="16" t="str">
        <x:v>in progress</x:v>
      </x:c>
      <x:c r="G18" s="17" t="b">
        <x:v>0</x:v>
      </x:c>
      <x:c r="H18" s="16" t="str">
        <x:v>https://app.clickup.com/t/86d38tf7g</x:v>
      </x:c>
    </x:row>
    <x:row r="19">
      <x:c r="A19" s="26" t="str">
        <x:v>Total Accomplished</x:v>
      </x:c>
      <x:c r="B19" s="26" t="str"/>
      <x:c r="C19" s="26" t="str"/>
      <x:c r="D19" s="26" t="str"/>
      <x:c r="E19" s="27" t="n">
        <x:f>SUM(E18:E18)</x:f>
        <x:v>0.008</x:v>
      </x:c>
      <x:c r="F19" s="27" t="str"/>
      <x:c r="G19" s="27" t="n">
        <x:f>SUMIF(G18:G18, TRUE, E18:E18)</x:f>
        <x:v>0</x:v>
      </x:c>
      <x:c r="H19" s="26" t="str"/>
    </x:row>
    <x:row r="21">
      <x:c r="A21" s="4" t="str">
        <x:v>Task ID</x:v>
      </x:c>
      <x:c r="B21" s="4" t="str">
        <x:v>PROJDB</x:v>
      </x:c>
      <x:c r="C21" s="4" t="str">
        <x:v>Task Name</x:v>
      </x:c>
      <x:c r="D21" s="4" t="str">
        <x:v>Projects and Donations Tables</x:v>
      </x:c>
      <x:c r="E21" s="4" t="str"/>
      <x:c r="F21" s="4" t="str">
        <x:v>in progress</x:v>
      </x:c>
      <x:c r="G21" s="4" t="str"/>
      <x:c r="H21" s="4" t="str">
        <x:v>https://app.clickup.com/t/86d38tf81</x:v>
      </x:c>
    </x:row>
    <x:row r="22">
      <x:c r="A22" s="8" t="str">
        <x:v>Subtask ID</x:v>
      </x:c>
      <x:c r="B22" s="8" t="str">
        <x:v>Subtask / Task Name</x:v>
      </x:c>
      <x:c r="C22" s="8" t="str">
        <x:v>Acceptance Criteria</x:v>
      </x:c>
      <x:c r="D22" s="8" t="str">
        <x:v>Evidence / Deliverable</x:v>
      </x:c>
      <x:c r="E22" s="8" t="str">
        <x:v>Weight Allocation</x:v>
      </x:c>
      <x:c r="F22" s="8" t="str">
        <x:v>ClickUp Status</x:v>
      </x:c>
      <x:c r="G22" s="8" t="str">
        <x:v>Accepted</x:v>
      </x:c>
      <x:c r="H22" s="8" t="str">
        <x:v>ClickUp URL</x:v>
      </x:c>
    </x:row>
    <x:row r="23">
      <x:c r="A23" s="16" t="str">
        <x:v>PROJDB</x:v>
      </x:c>
      <x:c r="B23" s="16" t="str">
        <x:v>Projects and Donations Tables</x:v>
      </x:c>
      <x:c r="C23" s="16" t="str">
        <x:v>Given the PAULUS Projects and Donations Tables task is implemented, the feature should meet the approved capstone requirements and pass review against its expected behavior.</x:v>
      </x:c>
      <x:c r="D23" s="16" t="str">
        <x:v>ClickUp task evidence, implementation output, QA notes, screenshots, tests, or manuscript updates for Projects and Donations Tables.</x:v>
      </x:c>
      <x:c r="E23" s="18" t="n">
        <x:v>0.008</x:v>
      </x:c>
      <x:c r="F23" s="16" t="str">
        <x:v>in progress</x:v>
      </x:c>
      <x:c r="G23" s="17" t="b">
        <x:v>0</x:v>
      </x:c>
      <x:c r="H23" s="16" t="str">
        <x:v>https://app.clickup.com/t/86d38tf81</x:v>
      </x:c>
    </x:row>
    <x:row r="24">
      <x:c r="A24" s="26" t="str">
        <x:v>Total Accomplished</x:v>
      </x:c>
      <x:c r="B24" s="26" t="str"/>
      <x:c r="C24" s="26" t="str"/>
      <x:c r="D24" s="26" t="str"/>
      <x:c r="E24" s="27" t="n">
        <x:f>SUM(E23:E23)</x:f>
        <x:v>0.008</x:v>
      </x:c>
      <x:c r="F24" s="27" t="str"/>
      <x:c r="G24" s="27" t="n">
        <x:f>SUMIF(G23:G23, TRUE, E23:E23)</x:f>
        <x:v>0</x:v>
      </x:c>
      <x:c r="H24" s="26" t="str"/>
    </x:row>
    <x:row r="26">
      <x:c r="A26" s="4" t="str">
        <x:v>Task ID</x:v>
      </x:c>
      <x:c r="B26" s="4" t="str">
        <x:v>PRSTDB</x:v>
      </x:c>
      <x:c r="C26" s="4" t="str">
        <x:v>Task Name</x:v>
      </x:c>
      <x:c r="D26" s="4" t="str">
        <x:v>Priest Health Records Table</x:v>
      </x:c>
      <x:c r="E26" s="4" t="str"/>
      <x:c r="F26" s="4" t="str">
        <x:v>in progress</x:v>
      </x:c>
      <x:c r="G26" s="4" t="str"/>
      <x:c r="H26" s="4" t="str">
        <x:v>https://app.clickup.com/t/86d38tf96</x:v>
      </x:c>
    </x:row>
    <x:row r="27">
      <x:c r="A27" s="8" t="str">
        <x:v>Subtask ID</x:v>
      </x:c>
      <x:c r="B27" s="8" t="str">
        <x:v>Subtask / Task Name</x:v>
      </x:c>
      <x:c r="C27" s="8" t="str">
        <x:v>Acceptance Criteria</x:v>
      </x:c>
      <x:c r="D27" s="8" t="str">
        <x:v>Evidence / Deliverable</x:v>
      </x:c>
      <x:c r="E27" s="8" t="str">
        <x:v>Weight Allocation</x:v>
      </x:c>
      <x:c r="F27" s="8" t="str">
        <x:v>ClickUp Status</x:v>
      </x:c>
      <x:c r="G27" s="8" t="str">
        <x:v>Accepted</x:v>
      </x:c>
      <x:c r="H27" s="8" t="str">
        <x:v>ClickUp URL</x:v>
      </x:c>
    </x:row>
    <x:row r="28">
      <x:c r="A28" s="16" t="str">
        <x:v>PRSTDB</x:v>
      </x:c>
      <x:c r="B28" s="16" t="str">
        <x:v>Priest Health Records Table</x:v>
      </x:c>
      <x:c r="C28" s="16" t="str">
        <x:v>Given the PAULUS Priest Health Records Table task is implemented, the feature should meet the approved capstone requirements and pass review against its expected behavior.</x:v>
      </x:c>
      <x:c r="D28" s="16" t="str">
        <x:v>ClickUp task evidence, implementation output, QA notes, screenshots, tests, or manuscript updates for Priest Health Records Table.</x:v>
      </x:c>
      <x:c r="E28" s="18" t="n">
        <x:v>0.008</x:v>
      </x:c>
      <x:c r="F28" s="16" t="str">
        <x:v>in progress</x:v>
      </x:c>
      <x:c r="G28" s="17" t="b">
        <x:v>0</x:v>
      </x:c>
      <x:c r="H28" s="16" t="str">
        <x:v>https://app.clickup.com/t/86d38tf96</x:v>
      </x:c>
    </x:row>
    <x:row r="29">
      <x:c r="A29" s="26" t="str">
        <x:v>Total Accomplished</x:v>
      </x:c>
      <x:c r="B29" s="26" t="str"/>
      <x:c r="C29" s="26" t="str"/>
      <x:c r="D29" s="26" t="str"/>
      <x:c r="E29" s="27" t="n">
        <x:f>SUM(E28:E28)</x:f>
        <x:v>0.008</x:v>
      </x:c>
      <x:c r="F29" s="27" t="str"/>
      <x:c r="G29" s="27" t="n">
        <x:f>SUMIF(G28:G28, TRUE, E28:E28)</x:f>
        <x:v>0</x:v>
      </x:c>
      <x:c r="H29" s="26" t="str"/>
    </x:row>
    <x:row r="31">
      <x:c r="A31" s="4" t="str">
        <x:v>Task ID</x:v>
      </x:c>
      <x:c r="B31" s="4" t="str">
        <x:v>ANALYTICSDB</x:v>
      </x:c>
      <x:c r="C31" s="4" t="str">
        <x:v>Task Name</x:v>
      </x:c>
      <x:c r="D31" s="4" t="str">
        <x:v>Analytics Output Tables</x:v>
      </x:c>
      <x:c r="E31" s="4" t="str"/>
      <x:c r="F31" s="4" t="str">
        <x:v>in progress</x:v>
      </x:c>
      <x:c r="G31" s="4" t="str"/>
      <x:c r="H31" s="4" t="str">
        <x:v>https://app.clickup.com/t/86d38tf9g</x:v>
      </x:c>
    </x:row>
    <x:row r="32">
      <x:c r="A32" s="8" t="str">
        <x:v>Subtask ID</x:v>
      </x:c>
      <x:c r="B32" s="8" t="str">
        <x:v>Subtask / Task Name</x:v>
      </x:c>
      <x:c r="C32" s="8" t="str">
        <x:v>Acceptance Criteria</x:v>
      </x:c>
      <x:c r="D32" s="8" t="str">
        <x:v>Evidence / Deliverable</x:v>
      </x:c>
      <x:c r="E32" s="8" t="str">
        <x:v>Weight Allocation</x:v>
      </x:c>
      <x:c r="F32" s="8" t="str">
        <x:v>ClickUp Status</x:v>
      </x:c>
      <x:c r="G32" s="8" t="str">
        <x:v>Accepted</x:v>
      </x:c>
      <x:c r="H32" s="8" t="str">
        <x:v>ClickUp URL</x:v>
      </x:c>
    </x:row>
    <x:row r="33">
      <x:c r="A33" s="16" t="str">
        <x:v>ANALYTICSDB</x:v>
      </x:c>
      <x:c r="B33" s="16" t="str">
        <x:v>Analytics Output Tables</x:v>
      </x:c>
      <x:c r="C33" s="16" t="str">
        <x:v>Given the PAULUS Analytics Output Tables task is implemented, the feature should meet the approved capstone requirements and pass review against its expected behavior.</x:v>
      </x:c>
      <x:c r="D33" s="16" t="str">
        <x:v>ClickUp task evidence, implementation output, QA notes, screenshots, tests, or manuscript updates for Analytics Output Tables.</x:v>
      </x:c>
      <x:c r="E33" s="18" t="n">
        <x:v>0.008</x:v>
      </x:c>
      <x:c r="F33" s="16" t="str">
        <x:v>in progress</x:v>
      </x:c>
      <x:c r="G33" s="17" t="b">
        <x:v>0</x:v>
      </x:c>
      <x:c r="H33" s="16" t="str">
        <x:v>https://app.clickup.com/t/86d38tf9g</x:v>
      </x:c>
    </x:row>
    <x:row r="34">
      <x:c r="A34" s="26" t="str">
        <x:v>Total Accomplished</x:v>
      </x:c>
      <x:c r="B34" s="26" t="str"/>
      <x:c r="C34" s="26" t="str"/>
      <x:c r="D34" s="26" t="str"/>
      <x:c r="E34" s="27" t="n">
        <x:f>SUM(E33:E33)</x:f>
        <x:v>0.008</x:v>
      </x:c>
      <x:c r="F34" s="27" t="str"/>
      <x:c r="G34" s="27" t="n">
        <x:f>SUMIF(G33:G33, TRUE, E33:E33)</x:f>
        <x:v>0</x:v>
      </x:c>
      <x:c r="H34" s="26" t="str"/>
    </x:row>
    <x:row r="36">
      <x:c r="A36" s="4" t="str">
        <x:v>Task ID</x:v>
      </x:c>
      <x:c r="B36" s="4" t="str">
        <x:v>SANDBOX</x:v>
      </x:c>
      <x:c r="C36" s="4" t="str">
        <x:v>Task Name</x:v>
      </x:c>
      <x:c r="D36" s="4" t="str">
        <x:v>Sandbox and Model Testing Schema</x:v>
      </x:c>
      <x:c r="E36" s="4" t="str"/>
      <x:c r="F36" s="4" t="str">
        <x:v>in progress</x:v>
      </x:c>
      <x:c r="G36" s="4" t="str"/>
      <x:c r="H36" s="4" t="str">
        <x:v>https://app.clickup.com/t/86d38tfat</x:v>
      </x:c>
    </x:row>
    <x:row r="37">
      <x:c r="A37" s="8" t="str">
        <x:v>Subtask ID</x:v>
      </x:c>
      <x:c r="B37" s="8" t="str">
        <x:v>Subtask / Task Name</x:v>
      </x:c>
      <x:c r="C37" s="8" t="str">
        <x:v>Acceptance Criteria</x:v>
      </x:c>
      <x:c r="D37" s="8" t="str">
        <x:v>Evidence / Deliverable</x:v>
      </x:c>
      <x:c r="E37" s="8" t="str">
        <x:v>Weight Allocation</x:v>
      </x:c>
      <x:c r="F37" s="8" t="str">
        <x:v>ClickUp Status</x:v>
      </x:c>
      <x:c r="G37" s="8" t="str">
        <x:v>Accepted</x:v>
      </x:c>
      <x:c r="H37" s="8" t="str">
        <x:v>ClickUp URL</x:v>
      </x:c>
    </x:row>
    <x:row r="38">
      <x:c r="A38" s="16" t="str">
        <x:v>SANDBOX</x:v>
      </x:c>
      <x:c r="B38" s="16" t="str">
        <x:v>Sandbox and Model Testing Schema</x:v>
      </x:c>
      <x:c r="C38" s="16" t="str">
        <x:v>Given the PAULUS Sandbox and Model Testing Schema task is implemented, the feature should meet the approved capstone requirements and pass review against its expected behavior.</x:v>
      </x:c>
      <x:c r="D38" s="16" t="str">
        <x:v>ClickUp task evidence, implementation output, QA notes, screenshots, tests, or manuscript updates for Sandbox and Model Testing Schema.</x:v>
      </x:c>
      <x:c r="E38" s="18" t="n">
        <x:v>0.008</x:v>
      </x:c>
      <x:c r="F38" s="16" t="str">
        <x:v>in progress</x:v>
      </x:c>
      <x:c r="G38" s="17" t="b">
        <x:v>0</x:v>
      </x:c>
      <x:c r="H38" s="16" t="str">
        <x:v>https://app.clickup.com/t/86d38tfat</x:v>
      </x:c>
    </x:row>
    <x:row r="39">
      <x:c r="A39" s="26" t="str">
        <x:v>Total Accomplished</x:v>
      </x:c>
      <x:c r="B39" s="26" t="str"/>
      <x:c r="C39" s="26" t="str"/>
      <x:c r="D39" s="26" t="str"/>
      <x:c r="E39" s="27" t="n">
        <x:f>SUM(E38:E38)</x:f>
        <x:v>0.008</x:v>
      </x:c>
      <x:c r="F39" s="27" t="str"/>
      <x:c r="G39" s="27" t="n">
        <x:f>SUMIF(G38:G38, TRUE, E38:E38)</x:f>
        <x:v>0</x:v>
      </x:c>
      <x:c r="H39" s="26" t="str"/>
    </x:row>
    <x:row r="41">
      <x:c r="A41" s="4" t="str">
        <x:v>Task ID</x:v>
      </x:c>
      <x:c r="B41" s="4" t="str">
        <x:v>BACKUP</x:v>
      </x:c>
      <x:c r="C41" s="4" t="str">
        <x:v>Task Name</x:v>
      </x:c>
      <x:c r="D41" s="4" t="str">
        <x:v>Backup and Recovery Setup</x:v>
      </x:c>
      <x:c r="E41" s="4" t="str"/>
      <x:c r="F41" s="4" t="str">
        <x:v>planning/backlog</x:v>
      </x:c>
      <x:c r="G41" s="4" t="str"/>
      <x:c r="H41" s="4" t="str">
        <x:v>https://app.clickup.com/t/86d38tfcn</x:v>
      </x:c>
    </x:row>
    <x:row r="42">
      <x:c r="A42" s="8" t="str">
        <x:v>Subtask ID</x:v>
      </x:c>
      <x:c r="B42" s="8" t="str">
        <x:v>Subtask / Task Name</x:v>
      </x:c>
      <x:c r="C42" s="8" t="str">
        <x:v>Acceptance Criteria</x:v>
      </x:c>
      <x:c r="D42" s="8" t="str">
        <x:v>Evidence / Deliverable</x:v>
      </x:c>
      <x:c r="E42" s="8" t="str">
        <x:v>Weight Allocation</x:v>
      </x:c>
      <x:c r="F42" s="8" t="str">
        <x:v>ClickUp Status</x:v>
      </x:c>
      <x:c r="G42" s="8" t="str">
        <x:v>Accepted</x:v>
      </x:c>
      <x:c r="H42" s="8" t="str">
        <x:v>ClickUp URL</x:v>
      </x:c>
    </x:row>
    <x:row r="43">
      <x:c r="A43" s="16" t="str">
        <x:v>BACKUP</x:v>
      </x:c>
      <x:c r="B43" s="16" t="str">
        <x:v>Backup and Recovery Setup</x:v>
      </x:c>
      <x:c r="C43" s="16" t="str">
        <x:v>Given the PAULUS Backup and Recovery Setup task is implemented, the feature should meet the approved capstone requirements and pass review against its expected behavior.</x:v>
      </x:c>
      <x:c r="D43" s="16" t="str">
        <x:v>ClickUp task evidence, implementation output, QA notes, screenshots, tests, or manuscript updates for Backup and Recovery Setup.</x:v>
      </x:c>
      <x:c r="E43" s="18" t="n">
        <x:v>0.008</x:v>
      </x:c>
      <x:c r="F43" s="16" t="str">
        <x:v>planning/backlog</x:v>
      </x:c>
      <x:c r="G43" s="17" t="b">
        <x:v>0</x:v>
      </x:c>
      <x:c r="H43" s="16" t="str">
        <x:v>https://app.clickup.com/t/86d38tfcn</x:v>
      </x:c>
    </x:row>
    <x:row r="44">
      <x:c r="A44" s="26" t="str">
        <x:v>Total Accomplished</x:v>
      </x:c>
      <x:c r="B44" s="26" t="str"/>
      <x:c r="C44" s="26" t="str"/>
      <x:c r="D44" s="26" t="str"/>
      <x:c r="E44" s="27" t="n">
        <x:f>SUM(E43:E43)</x:f>
        <x:v>0.008</x:v>
      </x:c>
      <x:c r="F44" s="27" t="str"/>
      <x:c r="G44" s="27" t="n">
        <x:f>SUMIF(G43:G43, TRUE, E43:E43)</x:f>
        <x:v>0</x:v>
      </x:c>
      <x:c r="H44" s="26" t="str"/>
    </x:row>
    <x:row r="46">
      <x:c r="A46" s="4" t="str">
        <x:v>Task ID</x:v>
      </x:c>
      <x:c r="B46" s="4" t="str">
        <x:v>FINBACKUP</x:v>
      </x:c>
      <x:c r="C46" s="4" t="str">
        <x:v>Task Name</x:v>
      </x:c>
      <x:c r="D46" s="4" t="str">
        <x:v>Backup Input for Financial Data</x:v>
      </x:c>
      <x:c r="E46" s="4" t="str"/>
      <x:c r="F46" s="4" t="str">
        <x:v>planning/backlog</x:v>
      </x:c>
      <x:c r="G46" s="4" t="str"/>
      <x:c r="H46" s="4" t="str">
        <x:v>https://app.clickup.com/t/86d3bw6t9</x:v>
      </x:c>
    </x:row>
    <x:row r="47">
      <x:c r="A47" s="8" t="str">
        <x:v>Subtask ID</x:v>
      </x:c>
      <x:c r="B47" s="8" t="str">
        <x:v>Subtask / Task Name</x:v>
      </x:c>
      <x:c r="C47" s="8" t="str">
        <x:v>Acceptance Criteria</x:v>
      </x:c>
      <x:c r="D47" s="8" t="str">
        <x:v>Evidence / Deliverable</x:v>
      </x:c>
      <x:c r="E47" s="8" t="str">
        <x:v>Weight Allocation</x:v>
      </x:c>
      <x:c r="F47" s="8" t="str">
        <x:v>ClickUp Status</x:v>
      </x:c>
      <x:c r="G47" s="8" t="str">
        <x:v>Accepted</x:v>
      </x:c>
      <x:c r="H47" s="8" t="str">
        <x:v>ClickUp URL</x:v>
      </x:c>
    </x:row>
    <x:row r="48">
      <x:c r="A48" s="16" t="str">
        <x:v>REQ-01</x:v>
      </x:c>
      <x:c r="B48" s="16" t="str">
        <x:v>Define backup input format for financial data</x:v>
      </x:c>
      <x:c r="C48" s="16" t="str">
        <x:v>Given the PAULUS Define backup input format for financial data task is implemented, the feature should meet the approved capstone requirements and pass review against its expected behavior.</x:v>
      </x:c>
      <x:c r="D48" s="16" t="str">
        <x:v>ClickUp task evidence, implementation output, QA notes, screenshots, tests, or manuscript updates for Define backup input format for financial data.</x:v>
      </x:c>
      <x:c r="E48" s="18" t="n">
        <x:v>0.0026666666666666666</x:v>
      </x:c>
      <x:c r="F48" s="16" t="str">
        <x:v>not in ClickUp - added from QA list</x:v>
      </x:c>
      <x:c r="G48" s="17" t="b">
        <x:v>0</x:v>
      </x:c>
      <x:c r="H48" s="16" t="str"/>
    </x:row>
    <x:row r="49">
      <x:c r="A49" s="16" t="str">
        <x:v>DEV-01</x:v>
      </x:c>
      <x:c r="B49" s="16" t="str">
        <x:v>Implement backup input ingestion for financial data</x:v>
      </x:c>
      <x:c r="C49" s="16" t="str">
        <x:v>Given the PAULUS Implement backup input ingestion for financial data task is implemented, the feature should meet the approved capstone requirements and pass review against its expected behavior.</x:v>
      </x:c>
      <x:c r="D49" s="16" t="str">
        <x:v>ClickUp task evidence, implementation output, QA notes, screenshots, tests, or manuscript updates for Implement backup input ingestion for financial data.</x:v>
      </x:c>
      <x:c r="E49" s="18" t="n">
        <x:v>0.0026666666666666666</x:v>
      </x:c>
      <x:c r="F49" s="16" t="str">
        <x:v>not in ClickUp - added from QA list</x:v>
      </x:c>
      <x:c r="G49" s="17" t="b">
        <x:v>0</x:v>
      </x:c>
      <x:c r="H49" s="16" t="str"/>
    </x:row>
    <x:row r="50">
      <x:c r="A50" s="16" t="str">
        <x:v>QA-01</x:v>
      </x:c>
      <x:c r="B50" s="16" t="str">
        <x:v>QA backup input validation, duplicate handling, and error messages</x:v>
      </x:c>
      <x:c r="C50" s="16" t="str">
        <x:v>Given the PAULUS QA backup input validation, duplicate handling, and error messages task is implemented, the feature should meet the approved capstone requirements and pass review against its expected behavior.</x:v>
      </x:c>
      <x:c r="D50" s="16" t="str">
        <x:v>ClickUp task evidence, implementation output, QA notes, screenshots, tests, or manuscript updates for QA backup input validation, duplicate handling, and error messages.</x:v>
      </x:c>
      <x:c r="E50" s="18" t="n">
        <x:v>0.0026666666666666666</x:v>
      </x:c>
      <x:c r="F50" s="16" t="str">
        <x:v>not in ClickUp - added from QA list</x:v>
      </x:c>
      <x:c r="G50" s="17" t="b">
        <x:v>0</x:v>
      </x:c>
      <x:c r="H50" s="16" t="str"/>
    </x:row>
    <x:row r="51">
      <x:c r="A51" s="26" t="str">
        <x:v>Total Accomplished</x:v>
      </x:c>
      <x:c r="B51" s="26" t="str"/>
      <x:c r="C51" s="26" t="str"/>
      <x:c r="D51" s="26" t="str"/>
      <x:c r="E51" s="27" t="n">
        <x:f>SUM(E48:E50)</x:f>
        <x:v>0.008</x:v>
      </x:c>
      <x:c r="F51" s="27" t="str"/>
      <x:c r="G51" s="27" t="n">
        <x:f>SUMIF(G48:G50, TRUE, E48:E50)</x:f>
        <x:v>0</x:v>
      </x:c>
      <x:c r="H51" s="26" t="str"/>
    </x:row>
    <x:row r="54">
      <x:c r="A54" s="34" t="str">
        <x:v>Module Accomplishment</x:v>
      </x:c>
      <x:c r="B54" s="34" t="str">
        <x:v>MOD-DB</x:v>
      </x:c>
      <x:c r="C54" s="34" t="str">
        <x:v>Database, ETL, and Storage Layers</x:v>
      </x:c>
      <x:c r="D54" s="34" t="str"/>
      <x:c r="E54" s="35" t="n">
        <x:v>0.08</x:v>
      </x:c>
      <x:c r="F54" s="35" t="str"/>
      <x:c r="G54" s="35" t="n">
        <x:f>SUM('MOD-DB'!G4,'MOD-DB'!G9,'MOD-DB'!G14,'MOD-DB'!G19,'MOD-DB'!G24,'MOD-DB'!G29,'MOD-DB'!G34,'MOD-DB'!G39,'MOD-DB'!G44,'MOD-DB'!G51)</x:f>
        <x:v>0</x:v>
      </x:c>
      <x:c r="H54" s="34" t="str"/>
    </x:row>
  </x:sheetData>
  <x:dataValidations count="10">
    <x:dataValidation type="list" sqref="G3">
      <x:formula1>"TRUE,FALSE"</x:formula1>
    </x:dataValidation>
    <x:dataValidation type="list" sqref="G8">
      <x:formula1>"TRUE,FALSE"</x:formula1>
    </x:dataValidation>
    <x:dataValidation type="list" sqref="G13">
      <x:formula1>"TRUE,FALSE"</x:formula1>
    </x:dataValidation>
    <x:dataValidation type="list" sqref="G18">
      <x:formula1>"TRUE,FALSE"</x:formula1>
    </x:dataValidation>
    <x:dataValidation type="list" sqref="G23">
      <x:formula1>"TRUE,FALSE"</x:formula1>
    </x:dataValidation>
    <x:dataValidation type="list" sqref="G28">
      <x:formula1>"TRUE,FALSE"</x:formula1>
    </x:dataValidation>
    <x:dataValidation type="list" sqref="G33">
      <x:formula1>"TRUE,FALSE"</x:formula1>
    </x:dataValidation>
    <x:dataValidation type="list" sqref="G38">
      <x:formula1>"TRUE,FALSE"</x:formula1>
    </x:dataValidation>
    <x:dataValidation type="list" sqref="G43">
      <x:formula1>"TRUE,FALSE"</x:formula1>
    </x:dataValidation>
    <x:dataValidation type="list" sqref="G48:G50">
      <x:formula1>"TRUE,FALSE"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32.5" hidden="0" customWidth="1"/>
    <x:col min="3" max="3" width="47.5" hidden="0" customWidth="1"/>
    <x:col min="4" max="4" width="42.5" hidden="0" customWidth="1"/>
    <x:col min="5" max="5" width="15" hidden="0" customWidth="1"/>
    <x:col min="6" max="6" width="16.8799991607666" hidden="0" customWidth="1"/>
    <x:col min="7" max="7" width="16.8799991607666" hidden="0" customWidth="1"/>
    <x:col min="8" max="8" width="28.75" hidden="0" customWidth="1"/>
  </x:cols>
  <x:sheetData>
    <x:row r="1">
      <x:c r="A1" s="4" t="str">
        <x:v>Task ID</x:v>
      </x:c>
      <x:c r="B1" s="4" t="str">
        <x:v>RATIO</x:v>
      </x:c>
      <x:c r="C1" s="4" t="str">
        <x:v>Task Name</x:v>
      </x:c>
      <x:c r="D1" s="4" t="str">
        <x:v>Financial Ratio Analysis Module</x:v>
      </x:c>
      <x:c r="E1" s="4" t="str"/>
      <x:c r="F1" s="4" t="str">
        <x:v>planning/backlog</x:v>
      </x:c>
      <x:c r="G1" s="4" t="str"/>
      <x:c r="H1" s="4" t="str">
        <x:v>https://app.clickup.com/t/86d38tg2f</x:v>
      </x:c>
    </x:row>
    <x:row r="2">
      <x:c r="A2" s="8" t="str">
        <x:v>Subtask ID</x:v>
      </x:c>
      <x:c r="B2" s="8" t="str">
        <x:v>Subtask / Task Name</x:v>
      </x:c>
      <x:c r="C2" s="8" t="str">
        <x:v>Acceptance Criteria</x:v>
      </x:c>
      <x:c r="D2" s="8" t="str">
        <x:v>Evidence / Deliverable</x:v>
      </x:c>
      <x:c r="E2" s="8" t="str">
        <x:v>Weight Allocation</x:v>
      </x:c>
      <x:c r="F2" s="8" t="str">
        <x:v>ClickUp Status</x:v>
      </x:c>
      <x:c r="G2" s="8" t="str">
        <x:v>Accepted</x:v>
      </x:c>
      <x:c r="H2" s="8" t="str">
        <x:v>ClickUp URL</x:v>
      </x:c>
    </x:row>
    <x:row r="3">
      <x:c r="A3" s="16" t="str">
        <x:v>RATIO</x:v>
      </x:c>
      <x:c r="B3" s="16" t="str">
        <x:v>Financial Ratio Analysis Module</x:v>
      </x:c>
      <x:c r="C3" s="16" t="str">
        <x:v>Given the PAULUS Financial Ratio Analysis Module task is implemented, the feature should meet the approved capstone requirements and pass review against its expected behavior.</x:v>
      </x:c>
      <x:c r="D3" s="16" t="str">
        <x:v>ClickUp task evidence, implementation output, QA notes, screenshots, tests, or manuscript updates for Financial Ratio Analysis Module.</x:v>
      </x:c>
      <x:c r="E3" s="18" t="n">
        <x:v>0.047499999999999994</x:v>
      </x:c>
      <x:c r="F3" s="16" t="str">
        <x:v>planning/backlog</x:v>
      </x:c>
      <x:c r="G3" s="17" t="b">
        <x:v>0</x:v>
      </x:c>
      <x:c r="H3" s="16" t="str">
        <x:v>https://app.clickup.com/t/86d38tg2f</x:v>
      </x:c>
    </x:row>
    <x:row r="4">
      <x:c r="A4" s="26" t="str">
        <x:v>Total Accomplished</x:v>
      </x:c>
      <x:c r="B4" s="26" t="str"/>
      <x:c r="C4" s="26" t="str"/>
      <x:c r="D4" s="26" t="str"/>
      <x:c r="E4" s="27" t="n">
        <x:f>SUM(E3:E3)</x:f>
        <x:v>0.047499999999999994</x:v>
      </x:c>
      <x:c r="F4" s="27" t="str"/>
      <x:c r="G4" s="27" t="n">
        <x:f>SUMIF(G3:G3, TRUE, E3:E3)</x:f>
        <x:v>0</x:v>
      </x:c>
      <x:c r="H4" s="26" t="str"/>
    </x:row>
    <x:row r="6">
      <x:c r="A6" s="4" t="str">
        <x:v>Task ID</x:v>
      </x:c>
      <x:c r="B6" s="4" t="str">
        <x:v>HEALTH</x:v>
      </x:c>
      <x:c r="C6" s="4" t="str">
        <x:v>Task Name</x:v>
      </x:c>
      <x:c r="D6" s="4" t="str">
        <x:v>Financial Health Classification Model</x:v>
      </x:c>
      <x:c r="E6" s="4" t="str"/>
      <x:c r="F6" s="4" t="str">
        <x:v>planning/backlog</x:v>
      </x:c>
      <x:c r="G6" s="4" t="str"/>
      <x:c r="H6" s="4" t="str">
        <x:v>https://app.clickup.com/t/86d38tg2t</x:v>
      </x:c>
    </x:row>
    <x:row r="7">
      <x:c r="A7" s="8" t="str">
        <x:v>Subtask ID</x:v>
      </x:c>
      <x:c r="B7" s="8" t="str">
        <x:v>Subtask / Task Name</x:v>
      </x:c>
      <x:c r="C7" s="8" t="str">
        <x:v>Acceptance Criteria</x:v>
      </x:c>
      <x:c r="D7" s="8" t="str">
        <x:v>Evidence / Deliverable</x:v>
      </x:c>
      <x:c r="E7" s="8" t="str">
        <x:v>Weight Allocation</x:v>
      </x:c>
      <x:c r="F7" s="8" t="str">
        <x:v>ClickUp Status</x:v>
      </x:c>
      <x:c r="G7" s="8" t="str">
        <x:v>Accepted</x:v>
      </x:c>
      <x:c r="H7" s="8" t="str">
        <x:v>ClickUp URL</x:v>
      </x:c>
    </x:row>
    <x:row r="8">
      <x:c r="A8" s="16" t="str">
        <x:v>HEALTH</x:v>
      </x:c>
      <x:c r="B8" s="16" t="str">
        <x:v>Financial Health Classification Model</x:v>
      </x:c>
      <x:c r="C8" s="16" t="str">
        <x:v>Given the PAULUS Financial Health Classification Model task is implemented, the feature should meet the approved capstone requirements and pass review against its expected behavior.</x:v>
      </x:c>
      <x:c r="D8" s="16" t="str">
        <x:v>ClickUp task evidence, implementation output, QA notes, screenshots, tests, or manuscript updates for Financial Health Classification Model.</x:v>
      </x:c>
      <x:c r="E8" s="18" t="n">
        <x:v>0.047499999999999994</x:v>
      </x:c>
      <x:c r="F8" s="16" t="str">
        <x:v>planning/backlog</x:v>
      </x:c>
      <x:c r="G8" s="17" t="b">
        <x:v>0</x:v>
      </x:c>
      <x:c r="H8" s="16" t="str">
        <x:v>https://app.clickup.com/t/86d38tg2t</x:v>
      </x:c>
    </x:row>
    <x:row r="9">
      <x:c r="A9" s="26" t="str">
        <x:v>Total Accomplished</x:v>
      </x:c>
      <x:c r="B9" s="26" t="str"/>
      <x:c r="C9" s="26" t="str"/>
      <x:c r="D9" s="26" t="str"/>
      <x:c r="E9" s="27" t="n">
        <x:f>SUM(E8:E8)</x:f>
        <x:v>0.047499999999999994</x:v>
      </x:c>
      <x:c r="F9" s="27" t="str"/>
      <x:c r="G9" s="27" t="n">
        <x:f>SUMIF(G8:G8, TRUE, E8:E8)</x:f>
        <x:v>0</x:v>
      </x:c>
      <x:c r="H9" s="26" t="str"/>
    </x:row>
    <x:row r="11">
      <x:c r="A11" s="4" t="str">
        <x:v>Task ID</x:v>
      </x:c>
      <x:c r="B11" s="4" t="str">
        <x:v>FORECAST</x:v>
      </x:c>
      <x:c r="C11" s="4" t="str">
        <x:v>Task Name</x:v>
      </x:c>
      <x:c r="D11" s="4" t="str">
        <x:v>Short-Term Financial Forecasting</x:v>
      </x:c>
      <x:c r="E11" s="4" t="str"/>
      <x:c r="F11" s="4" t="str">
        <x:v>planning/backlog</x:v>
      </x:c>
      <x:c r="G11" s="4" t="str"/>
      <x:c r="H11" s="4" t="str">
        <x:v>https://app.clickup.com/t/86d38tg3g</x:v>
      </x:c>
    </x:row>
    <x:row r="12">
      <x:c r="A12" s="8" t="str">
        <x:v>Subtask ID</x:v>
      </x:c>
      <x:c r="B12" s="8" t="str">
        <x:v>Subtask / Task Name</x:v>
      </x:c>
      <x:c r="C12" s="8" t="str">
        <x:v>Acceptance Criteria</x:v>
      </x:c>
      <x:c r="D12" s="8" t="str">
        <x:v>Evidence / Deliverable</x:v>
      </x:c>
      <x:c r="E12" s="8" t="str">
        <x:v>Weight Allocation</x:v>
      </x:c>
      <x:c r="F12" s="8" t="str">
        <x:v>ClickUp Status</x:v>
      </x:c>
      <x:c r="G12" s="8" t="str">
        <x:v>Accepted</x:v>
      </x:c>
      <x:c r="H12" s="8" t="str">
        <x:v>ClickUp URL</x:v>
      </x:c>
    </x:row>
    <x:row r="13">
      <x:c r="A13" s="16" t="str">
        <x:v>FORECAST</x:v>
      </x:c>
      <x:c r="B13" s="16" t="str">
        <x:v>Short-Term Financial Forecasting</x:v>
      </x:c>
      <x:c r="C13" s="16" t="str">
        <x:v>Given the PAULUS Short-Term Financial Forecasting task is implemented, the feature should meet the approved capstone requirements and pass review against its expected behavior.</x:v>
      </x:c>
      <x:c r="D13" s="16" t="str">
        <x:v>ClickUp task evidence, implementation output, QA notes, screenshots, tests, or manuscript updates for Short-Term Financial Forecasting.</x:v>
      </x:c>
      <x:c r="E13" s="18" t="n">
        <x:v>0.047499999999999994</x:v>
      </x:c>
      <x:c r="F13" s="16" t="str">
        <x:v>planning/backlog</x:v>
      </x:c>
      <x:c r="G13" s="17" t="b">
        <x:v>0</x:v>
      </x:c>
      <x:c r="H13" s="16" t="str">
        <x:v>https://app.clickup.com/t/86d38tg3g</x:v>
      </x:c>
    </x:row>
    <x:row r="14">
      <x:c r="A14" s="26" t="str">
        <x:v>Total Accomplished</x:v>
      </x:c>
      <x:c r="B14" s="26" t="str"/>
      <x:c r="C14" s="26" t="str"/>
      <x:c r="D14" s="26" t="str"/>
      <x:c r="E14" s="27" t="n">
        <x:f>SUM(E13:E13)</x:f>
        <x:v>0.047499999999999994</x:v>
      </x:c>
      <x:c r="F14" s="27" t="str"/>
      <x:c r="G14" s="27" t="n">
        <x:f>SUMIF(G13:G13, TRUE, E13:E13)</x:f>
        <x:v>0</x:v>
      </x:c>
      <x:c r="H14" s="26" t="str"/>
    </x:row>
    <x:row r="16">
      <x:c r="A16" s="4" t="str">
        <x:v>Task ID</x:v>
      </x:c>
      <x:c r="B16" s="4" t="str">
        <x:v>RECO</x:v>
      </x:c>
      <x:c r="C16" s="4" t="str">
        <x:v>Task Name</x:v>
      </x:c>
      <x:c r="D16" s="4" t="str">
        <x:v>Decision-Support Recommendation Model</x:v>
      </x:c>
      <x:c r="E16" s="4" t="str"/>
      <x:c r="F16" s="4" t="str">
        <x:v>planning/backlog</x:v>
      </x:c>
      <x:c r="G16" s="4" t="str"/>
      <x:c r="H16" s="4" t="str">
        <x:v>https://app.clickup.com/t/86d38tg4b</x:v>
      </x:c>
    </x:row>
    <x:row r="17">
      <x:c r="A17" s="8" t="str">
        <x:v>Subtask ID</x:v>
      </x:c>
      <x:c r="B17" s="8" t="str">
        <x:v>Subtask / Task Name</x:v>
      </x:c>
      <x:c r="C17" s="8" t="str">
        <x:v>Acceptance Criteria</x:v>
      </x:c>
      <x:c r="D17" s="8" t="str">
        <x:v>Evidence / Deliverable</x:v>
      </x:c>
      <x:c r="E17" s="8" t="str">
        <x:v>Weight Allocation</x:v>
      </x:c>
      <x:c r="F17" s="8" t="str">
        <x:v>ClickUp Status</x:v>
      </x:c>
      <x:c r="G17" s="8" t="str">
        <x:v>Accepted</x:v>
      </x:c>
      <x:c r="H17" s="8" t="str">
        <x:v>ClickUp URL</x:v>
      </x:c>
    </x:row>
    <x:row r="18">
      <x:c r="A18" s="16" t="str">
        <x:v>RECO</x:v>
      </x:c>
      <x:c r="B18" s="16" t="str">
        <x:v>Decision-Support Recommendation Model</x:v>
      </x:c>
      <x:c r="C18" s="16" t="str">
        <x:v>Given the PAULUS Decision-Support Recommendation Model task is implemented, the feature should meet the approved capstone requirements and pass review against its expected behavior.</x:v>
      </x:c>
      <x:c r="D18" s="16" t="str">
        <x:v>ClickUp task evidence, implementation output, QA notes, screenshots, tests, or manuscript updates for Decision-Support Recommendation Model.</x:v>
      </x:c>
      <x:c r="E18" s="18" t="n">
        <x:v>0.047499999999999994</x:v>
      </x:c>
      <x:c r="F18" s="16" t="str">
        <x:v>planning/backlog</x:v>
      </x:c>
      <x:c r="G18" s="17" t="b">
        <x:v>0</x:v>
      </x:c>
      <x:c r="H18" s="16" t="str">
        <x:v>https://app.clickup.com/t/86d38tg4b</x:v>
      </x:c>
    </x:row>
    <x:row r="19">
      <x:c r="A19" s="26" t="str">
        <x:v>Total Accomplished</x:v>
      </x:c>
      <x:c r="B19" s="26" t="str"/>
      <x:c r="C19" s="26" t="str"/>
      <x:c r="D19" s="26" t="str"/>
      <x:c r="E19" s="27" t="n">
        <x:f>SUM(E18:E18)</x:f>
        <x:v>0.047499999999999994</x:v>
      </x:c>
      <x:c r="F19" s="27" t="str"/>
      <x:c r="G19" s="27" t="n">
        <x:f>SUMIF(G18:G18, TRUE, E18:E18)</x:f>
        <x:v>0</x:v>
      </x:c>
      <x:c r="H19" s="26" t="str"/>
    </x:row>
    <x:row r="21">
      <x:c r="A21" s="4" t="str">
        <x:v>Task ID</x:v>
      </x:c>
      <x:c r="B21" s="4" t="str">
        <x:v>LITCAL</x:v>
      </x:c>
      <x:c r="C21" s="4" t="str">
        <x:v>Task Name</x:v>
      </x:c>
      <x:c r="D21" s="4" t="str">
        <x:v>Liturgical Calendar Data Pipeline</x:v>
      </x:c>
      <x:c r="E21" s="4" t="str"/>
      <x:c r="F21" s="4" t="str">
        <x:v>for qa / internal testing</x:v>
      </x:c>
      <x:c r="G21" s="4" t="str"/>
      <x:c r="H21" s="4" t="str">
        <x:v>https://app.clickup.com/t/86d38tg4j</x:v>
      </x:c>
    </x:row>
    <x:row r="22">
      <x:c r="A22" s="8" t="str">
        <x:v>Subtask ID</x:v>
      </x:c>
      <x:c r="B22" s="8" t="str">
        <x:v>Subtask / Task Name</x:v>
      </x:c>
      <x:c r="C22" s="8" t="str">
        <x:v>Acceptance Criteria</x:v>
      </x:c>
      <x:c r="D22" s="8" t="str">
        <x:v>Evidence / Deliverable</x:v>
      </x:c>
      <x:c r="E22" s="8" t="str">
        <x:v>Weight Allocation</x:v>
      </x:c>
      <x:c r="F22" s="8" t="str">
        <x:v>ClickUp Status</x:v>
      </x:c>
      <x:c r="G22" s="8" t="str">
        <x:v>Accepted</x:v>
      </x:c>
      <x:c r="H22" s="8" t="str">
        <x:v>ClickUp URL</x:v>
      </x:c>
    </x:row>
    <x:row r="23">
      <x:c r="A23" s="16" t="str">
        <x:v>BUS-01</x:v>
      </x:c>
      <x:c r="B23" s="16" t="str">
        <x:v>Define liturgical calendar data requirements and seasonality use</x:v>
      </x:c>
      <x:c r="C23" s="16" t="str">
        <x:v>Given the PAULUS Define liturgical calendar data requirements and seasonality use task is implemented, the feature should meet the approved capstone requirements and pass review against its expected behavior.</x:v>
      </x:c>
      <x:c r="D23" s="16" t="str">
        <x:v>ClickUp task evidence, implementation output, QA notes, screenshots, tests, or manuscript updates for Define liturgical calendar data requirements and seasonality use.</x:v>
      </x:c>
      <x:c r="E23" s="18" t="n">
        <x:v>0.004318181818181817</x:v>
      </x:c>
      <x:c r="F23" s="16" t="str">
        <x:v>planning/backlog</x:v>
      </x:c>
      <x:c r="G23" s="17" t="b">
        <x:v>0</x:v>
      </x:c>
      <x:c r="H23" s="16" t="str">
        <x:v>https://app.clickup.com/t/86d390k32</x:v>
      </x:c>
    </x:row>
    <x:row r="24">
      <x:c r="A24" s="16" t="str">
        <x:v>DU-01</x:v>
      </x:c>
      <x:c r="B24" s="16" t="str">
        <x:v>Review liturgical calendar data sources and cross-validators</x:v>
      </x:c>
      <x:c r="C24" s="16" t="str">
        <x:v>Given the PAULUS Review liturgical calendar data sources and cross-validators task is implemented, the feature should meet the approved capstone requirements and pass review against its expected behavior.</x:v>
      </x:c>
      <x:c r="D24" s="16" t="str">
        <x:v>ClickUp task evidence, implementation output, QA notes, screenshots, tests, or manuscript updates for Review liturgical calendar data sources and cross-validators.</x:v>
      </x:c>
      <x:c r="E24" s="18" t="n">
        <x:v>0.004318181818181817</x:v>
      </x:c>
      <x:c r="F24" s="16" t="str">
        <x:v>planning/backlog</x:v>
      </x:c>
      <x:c r="G24" s="17" t="b">
        <x:v>0</x:v>
      </x:c>
      <x:c r="H24" s="16" t="str">
        <x:v>https://app.clickup.com/t/86d390k61</x:v>
      </x:c>
    </x:row>
    <x:row r="25">
      <x:c r="A25" s="16" t="str">
        <x:v>SRC-01</x:v>
      </x:c>
      <x:c r="B25" s="16" t="str">
        <x:v>Prepare GCATHOLIC source mapping for liturgical calendar ingestion</x:v>
      </x:c>
      <x:c r="C25" s="16" t="str">
        <x:v>Given the PAULUS Prepare GCATHOLIC source mapping for liturgical calendar ingestion task is implemented, the feature should meet the approved capstone requirements and pass review against its expected behavior.</x:v>
      </x:c>
      <x:c r="D25" s="16" t="str">
        <x:v>ClickUp task evidence, implementation output, QA notes, screenshots, tests, or manuscript updates for Prepare GCATHOLIC source mapping for liturgical calendar ingestion.</x:v>
      </x:c>
      <x:c r="E25" s="18" t="n">
        <x:v>0.004318181818181817</x:v>
      </x:c>
      <x:c r="F25" s="16" t="str">
        <x:v>planning/backlog</x:v>
      </x:c>
      <x:c r="G25" s="17" t="b">
        <x:v>0</x:v>
      </x:c>
      <x:c r="H25" s="16" t="str">
        <x:v>https://app.clickup.com/t/86d3bw6u5</x:v>
      </x:c>
    </x:row>
    <x:row r="26">
      <x:c r="A26" s="16" t="str">
        <x:v>SRC-02</x:v>
      </x:c>
      <x:c r="B26" s="16" t="str">
        <x:v>Prepare LITCAL source mapping for liturgical calendar ingestion</x:v>
      </x:c>
      <x:c r="C26" s="16" t="str">
        <x:v>Given the PAULUS Prepare LITCAL source mapping for liturgical calendar ingestion task is implemented, the feature should meet the approved capstone requirements and pass review against its expected behavior.</x:v>
      </x:c>
      <x:c r="D26" s="16" t="str">
        <x:v>ClickUp task evidence, implementation output, QA notes, screenshots, tests, or manuscript updates for Prepare LITCAL source mapping for liturgical calendar ingestion.</x:v>
      </x:c>
      <x:c r="E26" s="18" t="n">
        <x:v>0.004318181818181817</x:v>
      </x:c>
      <x:c r="F26" s="16" t="str">
        <x:v>planning/backlog</x:v>
      </x:c>
      <x:c r="G26" s="17" t="b">
        <x:v>0</x:v>
      </x:c>
      <x:c r="H26" s="16" t="str">
        <x:v>https://app.clickup.com/t/86d3bw6v0</x:v>
      </x:c>
    </x:row>
    <x:row r="27">
      <x:c r="A27" s="16" t="str">
        <x:v>SRC-03</x:v>
      </x:c>
      <x:c r="B27" s="16" t="str">
        <x:v>Prepare ROMCAL source mapping for liturgical calendar ingestion</x:v>
      </x:c>
      <x:c r="C27" s="16" t="str">
        <x:v>Given the PAULUS Prepare ROMCAL source mapping for liturgical calendar ingestion task is implemented, the feature should meet the approved capstone requirements and pass review against its expected behavior.</x:v>
      </x:c>
      <x:c r="D27" s="16" t="str">
        <x:v>ClickUp task evidence, implementation output, QA notes, screenshots, tests, or manuscript updates for Prepare ROMCAL source mapping for liturgical calendar ingestion.</x:v>
      </x:c>
      <x:c r="E27" s="18" t="n">
        <x:v>0.004318181818181817</x:v>
      </x:c>
      <x:c r="F27" s="16" t="str">
        <x:v>planning/backlog</x:v>
      </x:c>
      <x:c r="G27" s="17" t="b">
        <x:v>0</x:v>
      </x:c>
      <x:c r="H27" s="16" t="str">
        <x:v>https://app.clickup.com/t/86d3bw6vm</x:v>
      </x:c>
    </x:row>
    <x:row r="28">
      <x:c r="A28" s="16" t="str">
        <x:v>DP-01</x:v>
      </x:c>
      <x:c r="B28" s="16" t="str">
        <x:v>Build liturgical calendar data ingestion pipeline</x:v>
      </x:c>
      <x:c r="C28" s="16" t="str">
        <x:v>Given the PAULUS Build liturgical calendar data ingestion pipeline task is implemented, the feature should meet the approved capstone requirements and pass review against its expected behavior.</x:v>
      </x:c>
      <x:c r="D28" s="16" t="str">
        <x:v>ClickUp task evidence, implementation output, QA notes, screenshots, tests, or manuscript updates for Build liturgical calendar data ingestion pipeline.</x:v>
      </x:c>
      <x:c r="E28" s="18" t="n">
        <x:v>0.004318181818181817</x:v>
      </x:c>
      <x:c r="F28" s="16" t="str">
        <x:v>planning/backlog</x:v>
      </x:c>
      <x:c r="G28" s="17" t="b">
        <x:v>0</x:v>
      </x:c>
      <x:c r="H28" s="16" t="str">
        <x:v>https://app.clickup.com/t/86d390k9n</x:v>
      </x:c>
    </x:row>
    <x:row r="29">
      <x:c r="A29" s="16" t="str">
        <x:v>MODEL-01</x:v>
      </x:c>
      <x:c r="B29" s="16" t="str">
        <x:v>Implement calendar validation and cross-check logic</x:v>
      </x:c>
      <x:c r="C29" s="16" t="str">
        <x:v>Given the PAULUS Implement calendar validation and cross-check logic task is implemented, the feature should meet the approved capstone requirements and pass review against its expected behavior.</x:v>
      </x:c>
      <x:c r="D29" s="16" t="str">
        <x:v>ClickUp task evidence, implementation output, QA notes, screenshots, tests, or manuscript updates for Implement calendar validation and cross-check logic.</x:v>
      </x:c>
      <x:c r="E29" s="18" t="n">
        <x:v>0.004318181818181817</x:v>
      </x:c>
      <x:c r="F29" s="16" t="str">
        <x:v>planning/backlog</x:v>
      </x:c>
      <x:c r="G29" s="17" t="b">
        <x:v>0</x:v>
      </x:c>
      <x:c r="H29" s="16" t="str">
        <x:v>https://app.clickup.com/t/86d390kb3</x:v>
      </x:c>
    </x:row>
    <x:row r="30">
      <x:c r="A30" s="16" t="str">
        <x:v>MODEL-02</x:v>
      </x:c>
      <x:c r="B30" s="16" t="str">
        <x:v>Program future calendar generation using pattern searching</x:v>
      </x:c>
      <x:c r="C30" s="16" t="str">
        <x:v>Given the PAULUS Program future calendar generation using pattern searching task is implemented, the feature should meet the approved capstone requirements and pass review against its expected behavior.</x:v>
      </x:c>
      <x:c r="D30" s="16" t="str">
        <x:v>ClickUp task evidence, implementation output, QA notes, screenshots, tests, or manuscript updates for Program future calendar generation using pattern searching.</x:v>
      </x:c>
      <x:c r="E30" s="18" t="n">
        <x:v>0.004318181818181817</x:v>
      </x:c>
      <x:c r="F30" s="16" t="str">
        <x:v>planning/backlog</x:v>
      </x:c>
      <x:c r="G30" s="17" t="b">
        <x:v>0</x:v>
      </x:c>
      <x:c r="H30" s="16" t="str">
        <x:v>https://app.clickup.com/t/86d3bw6w2</x:v>
      </x:c>
    </x:row>
    <x:row r="31">
      <x:c r="A31" s="16" t="str">
        <x:v>DEP-01</x:v>
      </x:c>
      <x:c r="B31" s="16" t="str">
        <x:v>Load validated liturgical calendar data into database</x:v>
      </x:c>
      <x:c r="C31" s="16" t="str">
        <x:v>Given the PAULUS Load validated liturgical calendar data into database task is implemented, the feature should meet the approved capstone requirements and pass review against its expected behavior.</x:v>
      </x:c>
      <x:c r="D31" s="16" t="str">
        <x:v>ClickUp task evidence, implementation output, QA notes, screenshots, tests, or manuscript updates for Load validated liturgical calendar data into database.</x:v>
      </x:c>
      <x:c r="E31" s="18" t="n">
        <x:v>0.004318181818181817</x:v>
      </x:c>
      <x:c r="F31" s="16" t="str">
        <x:v>planning/backlog</x:v>
      </x:c>
      <x:c r="G31" s="17" t="b">
        <x:v>0</x:v>
      </x:c>
      <x:c r="H31" s="16" t="str">
        <x:v>https://app.clickup.com/t/86d390kn9</x:v>
      </x:c>
    </x:row>
    <x:row r="32">
      <x:c r="A32" s="16" t="str">
        <x:v>EVAL-01</x:v>
      </x:c>
      <x:c r="B32" s="16" t="str">
        <x:v>Validate liturgical calendar data accuracy</x:v>
      </x:c>
      <x:c r="C32" s="16" t="str">
        <x:v>Given the PAULUS Validate liturgical calendar data accuracy task is implemented, the feature should meet the approved capstone requirements and pass review against its expected behavior.</x:v>
      </x:c>
      <x:c r="D32" s="16" t="str">
        <x:v>ClickUp task evidence, implementation output, QA notes, screenshots, tests, or manuscript updates for Validate liturgical calendar data accuracy.</x:v>
      </x:c>
      <x:c r="E32" s="18" t="n">
        <x:v>0.004318181818181817</x:v>
      </x:c>
      <x:c r="F32" s="16" t="str">
        <x:v>planning/backlog</x:v>
      </x:c>
      <x:c r="G32" s="17" t="b">
        <x:v>0</x:v>
      </x:c>
      <x:c r="H32" s="16" t="str">
        <x:v>https://app.clickup.com/t/86d390kf6</x:v>
      </x:c>
    </x:row>
    <x:row r="33">
      <x:c r="A33" s="16" t="str">
        <x:v>MS-01</x:v>
      </x:c>
      <x:c r="B33" s="16" t="str">
        <x:v>Document liturgical calendar pipeline process</x:v>
      </x:c>
      <x:c r="C33" s="16" t="str">
        <x:v>Given the PAULUS Document liturgical calendar pipeline process task is implemented, the feature should meet the approved capstone requirements and pass review against its expected behavior.</x:v>
      </x:c>
      <x:c r="D33" s="16" t="str">
        <x:v>ClickUp task evidence, implementation output, QA notes, screenshots, tests, or manuscript updates for Document liturgical calendar pipeline process.</x:v>
      </x:c>
      <x:c r="E33" s="18" t="n">
        <x:v>0.004318181818181817</x:v>
      </x:c>
      <x:c r="F33" s="16" t="str">
        <x:v>planning/backlog</x:v>
      </x:c>
      <x:c r="G33" s="17" t="b">
        <x:v>0</x:v>
      </x:c>
      <x:c r="H33" s="16" t="str">
        <x:v>https://app.clickup.com/t/86d390kpr</x:v>
      </x:c>
    </x:row>
    <x:row r="34">
      <x:c r="A34" s="26" t="str">
        <x:v>Total Accomplished</x:v>
      </x:c>
      <x:c r="B34" s="26" t="str"/>
      <x:c r="C34" s="26" t="str"/>
      <x:c r="D34" s="26" t="str"/>
      <x:c r="E34" s="27" t="n">
        <x:f>SUM(E23:E33)</x:f>
        <x:v>0.047499999999999994</x:v>
      </x:c>
      <x:c r="F34" s="27" t="str"/>
      <x:c r="G34" s="27" t="n">
        <x:f>SUMIF(G23:G33, TRUE, E23:E33)</x:f>
        <x:v>0</x:v>
      </x:c>
      <x:c r="H34" s="26" t="str"/>
    </x:row>
    <x:row r="36">
      <x:c r="A36" s="4" t="str">
        <x:v>Task ID</x:v>
      </x:c>
      <x:c r="B36" s="4" t="str">
        <x:v>WEATHER</x:v>
      </x:c>
      <x:c r="C36" s="4" t="str">
        <x:v>Task Name</x:v>
      </x:c>
      <x:c r="D36" s="4" t="str">
        <x:v>Weather Data Collection Pipeline</x:v>
      </x:c>
      <x:c r="E36" s="4" t="str"/>
      <x:c r="F36" s="4" t="str">
        <x:v>in progress</x:v>
      </x:c>
      <x:c r="G36" s="4" t="str"/>
      <x:c r="H36" s="4" t="str">
        <x:v>https://app.clickup.com/t/86d39pnnk</x:v>
      </x:c>
    </x:row>
    <x:row r="37">
      <x:c r="A37" s="8" t="str">
        <x:v>Subtask ID</x:v>
      </x:c>
      <x:c r="B37" s="8" t="str">
        <x:v>Subtask / Task Name</x:v>
      </x:c>
      <x:c r="C37" s="8" t="str">
        <x:v>Acceptance Criteria</x:v>
      </x:c>
      <x:c r="D37" s="8" t="str">
        <x:v>Evidence / Deliverable</x:v>
      </x:c>
      <x:c r="E37" s="8" t="str">
        <x:v>Weight Allocation</x:v>
      </x:c>
      <x:c r="F37" s="8" t="str">
        <x:v>ClickUp Status</x:v>
      </x:c>
      <x:c r="G37" s="8" t="str">
        <x:v>Accepted</x:v>
      </x:c>
      <x:c r="H37" s="8" t="str">
        <x:v>ClickUp URL</x:v>
      </x:c>
    </x:row>
    <x:row r="38">
      <x:c r="A38" s="16" t="str">
        <x:v>BUS-01</x:v>
      </x:c>
      <x:c r="B38" s="16" t="str">
        <x:v>Define weather data requirements and use in analytics</x:v>
      </x:c>
      <x:c r="C38" s="16" t="str">
        <x:v>Given the PAULUS Define weather data requirements and use in analytics task is implemented, the feature should meet the approved capstone requirements and pass review against its expected behavior.</x:v>
      </x:c>
      <x:c r="D38" s="16" t="str">
        <x:v>ClickUp task evidence, implementation output, QA notes, screenshots, tests, or manuscript updates for Define weather data requirements and use in analytics.</x:v>
      </x:c>
      <x:c r="E38" s="18" t="n">
        <x:v>0.005277777777777777</x:v>
      </x:c>
      <x:c r="F38" s="16" t="str">
        <x:v>planning/backlog</x:v>
      </x:c>
      <x:c r="G38" s="17" t="b">
        <x:v>0</x:v>
      </x:c>
      <x:c r="H38" s="16" t="str">
        <x:v>https://app.clickup.com/t/86d39pntt</x:v>
      </x:c>
    </x:row>
    <x:row r="39">
      <x:c r="A39" s="16" t="str">
        <x:v>DU-01</x:v>
      </x:c>
      <x:c r="B39" s="16" t="str">
        <x:v>Review weather data sources and APIs</x:v>
      </x:c>
      <x:c r="C39" s="16" t="str">
        <x:v>Given the PAULUS Review weather data sources and APIs task is implemented, the feature should meet the approved capstone requirements and pass review against its expected behavior.</x:v>
      </x:c>
      <x:c r="D39" s="16" t="str">
        <x:v>ClickUp task evidence, implementation output, QA notes, screenshots, tests, or manuscript updates for Review weather data sources and APIs.</x:v>
      </x:c>
      <x:c r="E39" s="18" t="n">
        <x:v>0.005277777777777777</x:v>
      </x:c>
      <x:c r="F39" s="16" t="str">
        <x:v>planning/backlog</x:v>
      </x:c>
      <x:c r="G39" s="17" t="b">
        <x:v>0</x:v>
      </x:c>
      <x:c r="H39" s="16" t="str">
        <x:v>https://app.clickup.com/t/86d39pnrf</x:v>
      </x:c>
    </x:row>
    <x:row r="40">
      <x:c r="A40" s="16" t="str">
        <x:v>EXT-01</x:v>
      </x:c>
      <x:c r="B40" s="16" t="str">
        <x:v>Extract weather data from selected source APIs or datasets</x:v>
      </x:c>
      <x:c r="C40" s="16" t="str">
        <x:v>Given the PAULUS Extract weather data from selected source APIs or datasets task is implemented, the feature should meet the approved capstone requirements and pass review against its expected behavior.</x:v>
      </x:c>
      <x:c r="D40" s="16" t="str">
        <x:v>ClickUp task evidence, implementation output, QA notes, screenshots, tests, or manuscript updates for Extract weather data from selected source APIs or datasets.</x:v>
      </x:c>
      <x:c r="E40" s="18" t="n">
        <x:v>0.005277777777777777</x:v>
      </x:c>
      <x:c r="F40" s="16" t="str">
        <x:v>planning/backlog</x:v>
      </x:c>
      <x:c r="G40" s="17" t="b">
        <x:v>0</x:v>
      </x:c>
      <x:c r="H40" s="16" t="str">
        <x:v>https://app.clickup.com/t/86d3bw6tt</x:v>
      </x:c>
    </x:row>
    <x:row r="41">
      <x:c r="A41" s="16" t="str">
        <x:v>DP-01</x:v>
      </x:c>
      <x:c r="B41" s="16" t="str">
        <x:v>Build weather data ingestion pipeline</x:v>
      </x:c>
      <x:c r="C41" s="16" t="str">
        <x:v>Given the PAULUS Build weather data ingestion pipeline task is implemented, the feature should meet the approved capstone requirements and pass review against its expected behavior.</x:v>
      </x:c>
      <x:c r="D41" s="16" t="str">
        <x:v>ClickUp task evidence, implementation output, QA notes, screenshots, tests, or manuscript updates for Build weather data ingestion pipeline.</x:v>
      </x:c>
      <x:c r="E41" s="18" t="n">
        <x:v>0.005277777777777777</x:v>
      </x:c>
      <x:c r="F41" s="16" t="str">
        <x:v>planning/backlog</x:v>
      </x:c>
      <x:c r="G41" s="17" t="b">
        <x:v>0</x:v>
      </x:c>
      <x:c r="H41" s="16" t="str">
        <x:v>https://app.clickup.com/t/86d39pnrg</x:v>
      </x:c>
    </x:row>
    <x:row r="42">
      <x:c r="A42" s="16" t="str">
        <x:v>MODEL-01</x:v>
      </x:c>
      <x:c r="B42" s="16" t="str">
        <x:v>Implement weather data validation and cross-check logic</x:v>
      </x:c>
      <x:c r="C42" s="16" t="str">
        <x:v>Given the PAULUS Implement weather data validation and cross-check logic task is implemented, the feature should meet the approved capstone requirements and pass review against its expected behavior.</x:v>
      </x:c>
      <x:c r="D42" s="16" t="str">
        <x:v>ClickUp task evidence, implementation output, QA notes, screenshots, tests, or manuscript updates for Implement weather data validation and cross-check logic.</x:v>
      </x:c>
      <x:c r="E42" s="18" t="n">
        <x:v>0.005277777777777777</x:v>
      </x:c>
      <x:c r="F42" s="16" t="str">
        <x:v>planning/backlog</x:v>
      </x:c>
      <x:c r="G42" s="17" t="b">
        <x:v>0</x:v>
      </x:c>
      <x:c r="H42" s="16" t="str">
        <x:v>https://app.clickup.com/t/86d39pnrh</x:v>
      </x:c>
    </x:row>
    <x:row r="43">
      <x:c r="A43" s="16" t="str">
        <x:v>DEP-01</x:v>
      </x:c>
      <x:c r="B43" s="16" t="str">
        <x:v>Load validated weather data into database</x:v>
      </x:c>
      <x:c r="C43" s="16" t="str">
        <x:v>Given the PAULUS Load validated weather data into database task is implemented, the feature should meet the approved capstone requirements and pass review against its expected behavior.</x:v>
      </x:c>
      <x:c r="D43" s="16" t="str">
        <x:v>ClickUp task evidence, implementation output, QA notes, screenshots, tests, or manuscript updates for Load validated weather data into database.</x:v>
      </x:c>
      <x:c r="E43" s="18" t="n">
        <x:v>0.005277777777777777</x:v>
      </x:c>
      <x:c r="F43" s="16" t="str">
        <x:v>planning/backlog</x:v>
      </x:c>
      <x:c r="G43" s="17" t="b">
        <x:v>0</x:v>
      </x:c>
      <x:c r="H43" s="16" t="str">
        <x:v>https://app.clickup.com/t/86d39pnta</x:v>
      </x:c>
    </x:row>
    <x:row r="44">
      <x:c r="A44" s="16" t="str">
        <x:v>EVAL-01</x:v>
      </x:c>
      <x:c r="B44" s="16" t="str">
        <x:v>Validate weather data accuracy and completeness</x:v>
      </x:c>
      <x:c r="C44" s="16" t="str">
        <x:v>Given the PAULUS Validate weather data accuracy and completeness task is implemented, the feature should meet the approved capstone requirements and pass review against its expected behavior.</x:v>
      </x:c>
      <x:c r="D44" s="16" t="str">
        <x:v>ClickUp task evidence, implementation output, QA notes, screenshots, tests, or manuscript updates for Validate weather data accuracy and completeness.</x:v>
      </x:c>
      <x:c r="E44" s="18" t="n">
        <x:v>0.005277777777777777</x:v>
      </x:c>
      <x:c r="F44" s="16" t="str">
        <x:v>planning/backlog</x:v>
      </x:c>
      <x:c r="G44" s="17" t="b">
        <x:v>0</x:v>
      </x:c>
      <x:c r="H44" s="16" t="str">
        <x:v>https://app.clickup.com/t/86d39pntv</x:v>
      </x:c>
    </x:row>
    <x:row r="45">
      <x:c r="A45" s="16" t="str">
        <x:v>UAT-01</x:v>
      </x:c>
      <x:c r="B45" s="16" t="str">
        <x:v>Validate weather data pipeline with target users</x:v>
      </x:c>
      <x:c r="C45" s="16" t="str">
        <x:v>Given the PAULUS Validate weather data pipeline with target users task is implemented, the feature should meet the approved capstone requirements and pass review against its expected behavior.</x:v>
      </x:c>
      <x:c r="D45" s="16" t="str">
        <x:v>ClickUp task evidence, implementation output, QA notes, screenshots, tests, or manuscript updates for Validate weather data pipeline with target users.</x:v>
      </x:c>
      <x:c r="E45" s="18" t="n">
        <x:v>0.005277777777777777</x:v>
      </x:c>
      <x:c r="F45" s="16" t="str">
        <x:v>planning/backlog</x:v>
      </x:c>
      <x:c r="G45" s="17" t="b">
        <x:v>0</x:v>
      </x:c>
      <x:c r="H45" s="16" t="str">
        <x:v>https://app.clickup.com/t/86d39pntd</x:v>
      </x:c>
    </x:row>
    <x:row r="46">
      <x:c r="A46" s="16" t="str">
        <x:v>MS-01</x:v>
      </x:c>
      <x:c r="B46" s="16" t="str">
        <x:v>Document weather data collection pipeline process</x:v>
      </x:c>
      <x:c r="C46" s="16" t="str">
        <x:v>Given the PAULUS Document weather data collection pipeline process task is implemented, the feature should meet the approved capstone requirements and pass review against its expected behavior.</x:v>
      </x:c>
      <x:c r="D46" s="16" t="str">
        <x:v>ClickUp task evidence, implementation output, QA notes, screenshots, tests, or manuscript updates for Document weather data collection pipeline process.</x:v>
      </x:c>
      <x:c r="E46" s="18" t="n">
        <x:v>0.005277777777777777</x:v>
      </x:c>
      <x:c r="F46" s="16" t="str">
        <x:v>planning/backlog</x:v>
      </x:c>
      <x:c r="G46" s="17" t="b">
        <x:v>0</x:v>
      </x:c>
      <x:c r="H46" s="16" t="str">
        <x:v>https://app.clickup.com/t/86d39pntw</x:v>
      </x:c>
    </x:row>
    <x:row r="47">
      <x:c r="A47" s="26" t="str">
        <x:v>Total Accomplished</x:v>
      </x:c>
      <x:c r="B47" s="26" t="str"/>
      <x:c r="C47" s="26" t="str"/>
      <x:c r="D47" s="26" t="str"/>
      <x:c r="E47" s="27" t="n">
        <x:f>SUM(E38:E46)</x:f>
        <x:v>0.047499999999999994</x:v>
      </x:c>
      <x:c r="F47" s="27" t="str"/>
      <x:c r="G47" s="27" t="n">
        <x:f>SUMIF(G38:G46, TRUE, E38:E46)</x:f>
        <x:v>0</x:v>
      </x:c>
      <x:c r="H47" s="26" t="str"/>
    </x:row>
    <x:row r="50">
      <x:c r="A50" s="34" t="str">
        <x:v>Module Accomplishment</x:v>
      </x:c>
      <x:c r="B50" s="34" t="str">
        <x:v>MOD-ANA</x:v>
      </x:c>
      <x:c r="C50" s="34" t="str">
        <x:v>Analytics, Models, and Decision Support</x:v>
      </x:c>
      <x:c r="D50" s="34" t="str"/>
      <x:c r="E50" s="35" t="n">
        <x:v>0.285</x:v>
      </x:c>
      <x:c r="F50" s="35" t="str"/>
      <x:c r="G50" s="35" t="n">
        <x:f>SUM('MOD-ANA'!G4,'MOD-ANA'!G9,'MOD-ANA'!G14,'MOD-ANA'!G19,'MOD-ANA'!G34,'MOD-ANA'!G47)</x:f>
        <x:v>0</x:v>
      </x:c>
      <x:c r="H50" s="34" t="str"/>
    </x:row>
  </x:sheetData>
  <x:dataValidations count="6">
    <x:dataValidation type="list" sqref="G3">
      <x:formula1>"TRUE,FALSE"</x:formula1>
    </x:dataValidation>
    <x:dataValidation type="list" sqref="G8">
      <x:formula1>"TRUE,FALSE"</x:formula1>
    </x:dataValidation>
    <x:dataValidation type="list" sqref="G13">
      <x:formula1>"TRUE,FALSE"</x:formula1>
    </x:dataValidation>
    <x:dataValidation type="list" sqref="G18">
      <x:formula1>"TRUE,FALSE"</x:formula1>
    </x:dataValidation>
    <x:dataValidation type="list" sqref="G23:G33">
      <x:formula1>"TRUE,FALSE"</x:formula1>
    </x:dataValidation>
    <x:dataValidation type="list" sqref="G38:G46">
      <x:formula1>"TRUE,FALSE"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32.5" hidden="0" customWidth="1"/>
    <x:col min="3" max="3" width="47.5" hidden="0" customWidth="1"/>
    <x:col min="4" max="4" width="42.5" hidden="0" customWidth="1"/>
    <x:col min="5" max="5" width="15" hidden="0" customWidth="1"/>
    <x:col min="6" max="6" width="16.8799991607666" hidden="0" customWidth="1"/>
    <x:col min="7" max="7" width="16.8799991607666" hidden="0" customWidth="1"/>
    <x:col min="8" max="8" width="28.75" hidden="0" customWidth="1"/>
  </x:cols>
  <x:sheetData>
    <x:row r="1">
      <x:c r="A1" s="4" t="str">
        <x:v>Task ID</x:v>
      </x:c>
      <x:c r="B1" s="4" t="str">
        <x:v>HOST</x:v>
      </x:c>
      <x:c r="C1" s="4" t="str">
        <x:v>Task Name</x:v>
      </x:c>
      <x:c r="D1" s="4" t="str">
        <x:v>Hosting and Deployment Setup</x:v>
      </x:c>
      <x:c r="E1" s="4" t="str"/>
      <x:c r="F1" s="4" t="str">
        <x:v>planning/backlog</x:v>
      </x:c>
      <x:c r="G1" s="4" t="str"/>
      <x:c r="H1" s="4" t="str">
        <x:v>https://app.clickup.com/t/86d38te3n</x:v>
      </x:c>
    </x:row>
    <x:row r="2">
      <x:c r="A2" s="8" t="str">
        <x:v>Subtask ID</x:v>
      </x:c>
      <x:c r="B2" s="8" t="str">
        <x:v>Subtask / Task Name</x:v>
      </x:c>
      <x:c r="C2" s="8" t="str">
        <x:v>Acceptance Criteria</x:v>
      </x:c>
      <x:c r="D2" s="8" t="str">
        <x:v>Evidence / Deliverable</x:v>
      </x:c>
      <x:c r="E2" s="8" t="str">
        <x:v>Weight Allocation</x:v>
      </x:c>
      <x:c r="F2" s="8" t="str">
        <x:v>ClickUp Status</x:v>
      </x:c>
      <x:c r="G2" s="8" t="str">
        <x:v>Accepted</x:v>
      </x:c>
      <x:c r="H2" s="8" t="str">
        <x:v>ClickUp URL</x:v>
      </x:c>
    </x:row>
    <x:row r="3">
      <x:c r="A3" s="16" t="str">
        <x:v>HOST</x:v>
      </x:c>
      <x:c r="B3" s="16" t="str">
        <x:v>Hosting and Deployment Setup</x:v>
      </x:c>
      <x:c r="C3" s="16" t="str">
        <x:v>Given the PAULUS Hosting and Deployment Setup task is implemented, the feature should meet the approved capstone requirements and pass review against its expected behavior.</x:v>
      </x:c>
      <x:c r="D3" s="16" t="str">
        <x:v>ClickUp task evidence, implementation output, QA notes, screenshots, tests, or manuscript updates for Hosting and Deployment Setup.</x:v>
      </x:c>
      <x:c r="E3" s="18" t="n">
        <x:v>0.0275</x:v>
      </x:c>
      <x:c r="F3" s="16" t="str">
        <x:v>planning/backlog</x:v>
      </x:c>
      <x:c r="G3" s="17" t="b">
        <x:v>0</x:v>
      </x:c>
      <x:c r="H3" s="16" t="str">
        <x:v>https://app.clickup.com/t/86d38te3n</x:v>
      </x:c>
    </x:row>
    <x:row r="4">
      <x:c r="A4" s="26" t="str">
        <x:v>Total Accomplished</x:v>
      </x:c>
      <x:c r="B4" s="26" t="str"/>
      <x:c r="C4" s="26" t="str"/>
      <x:c r="D4" s="26" t="str"/>
      <x:c r="E4" s="27" t="n">
        <x:f>SUM(E3:E3)</x:f>
        <x:v>0.0275</x:v>
      </x:c>
      <x:c r="F4" s="27" t="str"/>
      <x:c r="G4" s="27" t="n">
        <x:f>SUMIF(G3:G3, TRUE, E3:E3)</x:f>
        <x:v>0</x:v>
      </x:c>
      <x:c r="H4" s="26" t="str"/>
    </x:row>
    <x:row r="6">
      <x:c r="A6" s="4" t="str">
        <x:v>Task ID</x:v>
      </x:c>
      <x:c r="B6" s="4" t="str">
        <x:v>UAT</x:v>
      </x:c>
      <x:c r="C6" s="4" t="str">
        <x:v>Task Name</x:v>
      </x:c>
      <x:c r="D6" s="4" t="str">
        <x:v>User Acceptance Testing and Final Validation</x:v>
      </x:c>
      <x:c r="E6" s="4" t="str"/>
      <x:c r="F6" s="4" t="str">
        <x:v>planning/backlog</x:v>
      </x:c>
      <x:c r="G6" s="4" t="str"/>
      <x:c r="H6" s="4" t="str">
        <x:v>https://app.clickup.com/t/86d38th2p</x:v>
      </x:c>
    </x:row>
    <x:row r="7">
      <x:c r="A7" s="8" t="str">
        <x:v>Subtask ID</x:v>
      </x:c>
      <x:c r="B7" s="8" t="str">
        <x:v>Subtask / Task Name</x:v>
      </x:c>
      <x:c r="C7" s="8" t="str">
        <x:v>Acceptance Criteria</x:v>
      </x:c>
      <x:c r="D7" s="8" t="str">
        <x:v>Evidence / Deliverable</x:v>
      </x:c>
      <x:c r="E7" s="8" t="str">
        <x:v>Weight Allocation</x:v>
      </x:c>
      <x:c r="F7" s="8" t="str">
        <x:v>ClickUp Status</x:v>
      </x:c>
      <x:c r="G7" s="8" t="str">
        <x:v>Accepted</x:v>
      </x:c>
      <x:c r="H7" s="8" t="str">
        <x:v>ClickUp URL</x:v>
      </x:c>
    </x:row>
    <x:row r="8">
      <x:c r="A8" s="16" t="str">
        <x:v>UAT</x:v>
      </x:c>
      <x:c r="B8" s="16" t="str">
        <x:v>User Acceptance Testing and Final Validation</x:v>
      </x:c>
      <x:c r="C8" s="16" t="str">
        <x:v>Given the PAULUS User Acceptance Testing and Final Validation task is implemented, the feature should meet the approved capstone requirements and pass review against its expected behavior.</x:v>
      </x:c>
      <x:c r="D8" s="16" t="str">
        <x:v>ClickUp task evidence, implementation output, QA notes, screenshots, tests, or manuscript updates for User Acceptance Testing and Final Validation.</x:v>
      </x:c>
      <x:c r="E8" s="18" t="n">
        <x:v>0.0275</x:v>
      </x:c>
      <x:c r="F8" s="16" t="str">
        <x:v>planning/backlog</x:v>
      </x:c>
      <x:c r="G8" s="17" t="b">
        <x:v>0</x:v>
      </x:c>
      <x:c r="H8" s="16" t="str">
        <x:v>https://app.clickup.com/t/86d38th2p</x:v>
      </x:c>
    </x:row>
    <x:row r="9">
      <x:c r="A9" s="26" t="str">
        <x:v>Total Accomplished</x:v>
      </x:c>
      <x:c r="B9" s="26" t="str"/>
      <x:c r="C9" s="26" t="str"/>
      <x:c r="D9" s="26" t="str"/>
      <x:c r="E9" s="27" t="n">
        <x:f>SUM(E8:E8)</x:f>
        <x:v>0.0275</x:v>
      </x:c>
      <x:c r="F9" s="27" t="str"/>
      <x:c r="G9" s="27" t="n">
        <x:f>SUMIF(G8:G8, TRUE, E8:E8)</x:f>
        <x:v>0</x:v>
      </x:c>
      <x:c r="H9" s="26" t="str"/>
    </x:row>
    <x:row r="12">
      <x:c r="A12" s="34" t="str">
        <x:v>Module Accomplishment</x:v>
      </x:c>
      <x:c r="B12" s="34" t="str">
        <x:v>CORE</x:v>
      </x:c>
      <x:c r="C12" s="34" t="str">
        <x:v>Hosting, Repository, and Project Management</x:v>
      </x:c>
      <x:c r="D12" s="34" t="str"/>
      <x:c r="E12" s="35" t="n">
        <x:v>0.055</x:v>
      </x:c>
      <x:c r="F12" s="35" t="str"/>
      <x:c r="G12" s="35" t="n">
        <x:f>SUM('CORE'!G4,'CORE'!G9)</x:f>
        <x:v>0</x:v>
      </x:c>
      <x:c r="H12" s="34" t="str"/>
    </x:row>
  </x:sheetData>
  <x:dataValidations count="2">
    <x:dataValidation type="list" sqref="G3">
      <x:formula1>"TRUE,FALSE"</x:formula1>
    </x:dataValidation>
    <x:dataValidation type="list" sqref="G8">
      <x:formula1>"TRUE,FALSE"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32.5" hidden="0" customWidth="1"/>
    <x:col min="3" max="3" width="47.5" hidden="0" customWidth="1"/>
    <x:col min="4" max="4" width="42.5" hidden="0" customWidth="1"/>
    <x:col min="5" max="5" width="15" hidden="0" customWidth="1"/>
    <x:col min="6" max="6" width="16.8799991607666" hidden="0" customWidth="1"/>
    <x:col min="7" max="7" width="16.8799991607666" hidden="0" customWidth="1"/>
    <x:col min="8" max="8" width="28.75" hidden="0" customWidth="1"/>
  </x:cols>
  <x:sheetData>
    <x:row r="1">
      <x:c r="A1" s="4" t="str">
        <x:v>Task ID</x:v>
      </x:c>
      <x:c r="B1" s="4" t="str">
        <x:v>MS-01</x:v>
      </x:c>
      <x:c r="C1" s="4" t="str">
        <x:v>Task Name</x:v>
      </x:c>
      <x:c r="D1" s="4" t="str">
        <x:v>Revise Chapter 3 methodology to Agile Kanban</x:v>
      </x:c>
      <x:c r="E1" s="4" t="str"/>
      <x:c r="F1" s="4" t="str">
        <x:v>in progress</x:v>
      </x:c>
      <x:c r="G1" s="4" t="str"/>
      <x:c r="H1" s="4" t="str">
        <x:v>https://app.clickup.com/t/86d391p3k</x:v>
      </x:c>
    </x:row>
    <x:row r="2">
      <x:c r="A2" s="8" t="str">
        <x:v>Subtask ID</x:v>
      </x:c>
      <x:c r="B2" s="8" t="str">
        <x:v>Subtask / Task Name</x:v>
      </x:c>
      <x:c r="C2" s="8" t="str">
        <x:v>Acceptance Criteria</x:v>
      </x:c>
      <x:c r="D2" s="8" t="str">
        <x:v>Evidence / Deliverable</x:v>
      </x:c>
      <x:c r="E2" s="8" t="str">
        <x:v>Weight Allocation</x:v>
      </x:c>
      <x:c r="F2" s="8" t="str">
        <x:v>ClickUp Status</x:v>
      </x:c>
      <x:c r="G2" s="8" t="str">
        <x:v>Accepted</x:v>
      </x:c>
      <x:c r="H2" s="8" t="str">
        <x:v>ClickUp URL</x:v>
      </x:c>
    </x:row>
    <x:row r="3">
      <x:c r="A3" s="16" t="str">
        <x:v>MS-01</x:v>
      </x:c>
      <x:c r="B3" s="16" t="str">
        <x:v>Revise Chapter 3 methodology to Agile Kanban</x:v>
      </x:c>
      <x:c r="C3" s="16" t="str">
        <x:v>Given the PAULUS Revise Chapter 3 methodology to Agile Kanban task is implemented, the feature should meet the approved capstone requirements and pass review against its expected behavior.</x:v>
      </x:c>
      <x:c r="D3" s="16" t="str">
        <x:v>ClickUp task evidence, implementation output, QA notes, screenshots, tests, or manuscript updates for Revise Chapter 3 methodology to Agile Kanban.</x:v>
      </x:c>
      <x:c r="E3" s="18" t="n">
        <x:v>0.016666666666666666</x:v>
      </x:c>
      <x:c r="F3" s="16" t="str">
        <x:v>in progress</x:v>
      </x:c>
      <x:c r="G3" s="17" t="b">
        <x:v>0</x:v>
      </x:c>
      <x:c r="H3" s="16" t="str">
        <x:v>https://app.clickup.com/t/86d391p3k</x:v>
      </x:c>
    </x:row>
    <x:row r="4">
      <x:c r="A4" s="26" t="str">
        <x:v>Total Accomplished</x:v>
      </x:c>
      <x:c r="B4" s="26" t="str"/>
      <x:c r="C4" s="26" t="str"/>
      <x:c r="D4" s="26" t="str"/>
      <x:c r="E4" s="27" t="n">
        <x:f>SUM(E3:E3)</x:f>
        <x:v>0.016666666666666666</x:v>
      </x:c>
      <x:c r="F4" s="27" t="str"/>
      <x:c r="G4" s="27" t="n">
        <x:f>SUMIF(G3:G3, TRUE, E3:E3)</x:f>
        <x:v>0</x:v>
      </x:c>
      <x:c r="H4" s="26" t="str"/>
    </x:row>
    <x:row r="6">
      <x:c r="A6" s="4" t="str">
        <x:v>Task ID</x:v>
      </x:c>
      <x:c r="B6" s="4" t="str">
        <x:v>MS-02</x:v>
      </x:c>
      <x:c r="C6" s="4" t="str">
        <x:v>Task Name</x:v>
      </x:c>
      <x:c r="D6" s="4" t="str">
        <x:v>Add Kanban literature in Chapter 2</x:v>
      </x:c>
      <x:c r="E6" s="4" t="str"/>
      <x:c r="F6" s="4" t="str">
        <x:v>for qa / internal testing</x:v>
      </x:c>
      <x:c r="G6" s="4" t="str"/>
      <x:c r="H6" s="4" t="str">
        <x:v>https://app.clickup.com/t/86d391r9d</x:v>
      </x:c>
    </x:row>
    <x:row r="7">
      <x:c r="A7" s="8" t="str">
        <x:v>Subtask ID</x:v>
      </x:c>
      <x:c r="B7" s="8" t="str">
        <x:v>Subtask / Task Name</x:v>
      </x:c>
      <x:c r="C7" s="8" t="str">
        <x:v>Acceptance Criteria</x:v>
      </x:c>
      <x:c r="D7" s="8" t="str">
        <x:v>Evidence / Deliverable</x:v>
      </x:c>
      <x:c r="E7" s="8" t="str">
        <x:v>Weight Allocation</x:v>
      </x:c>
      <x:c r="F7" s="8" t="str">
        <x:v>ClickUp Status</x:v>
      </x:c>
      <x:c r="G7" s="8" t="str">
        <x:v>Accepted</x:v>
      </x:c>
      <x:c r="H7" s="8" t="str">
        <x:v>ClickUp URL</x:v>
      </x:c>
    </x:row>
    <x:row r="8">
      <x:c r="A8" s="16" t="str">
        <x:v>MS-02</x:v>
      </x:c>
      <x:c r="B8" s="16" t="str">
        <x:v>Add Kanban literature in Chapter 2</x:v>
      </x:c>
      <x:c r="C8" s="16" t="str">
        <x:v>Given the PAULUS Add Kanban literature in Chapter 2 task is implemented, the feature should meet the approved capstone requirements and pass review against its expected behavior.</x:v>
      </x:c>
      <x:c r="D8" s="16" t="str">
        <x:v>ClickUp task evidence, implementation output, QA notes, screenshots, tests, or manuscript updates for Add Kanban literature in Chapter 2.</x:v>
      </x:c>
      <x:c r="E8" s="18" t="n">
        <x:v>0.016666666666666666</x:v>
      </x:c>
      <x:c r="F8" s="16" t="str">
        <x:v>for qa / internal testing</x:v>
      </x:c>
      <x:c r="G8" s="17" t="b">
        <x:v>0</x:v>
      </x:c>
      <x:c r="H8" s="16" t="str">
        <x:v>https://app.clickup.com/t/86d391r9d</x:v>
      </x:c>
    </x:row>
    <x:row r="9">
      <x:c r="A9" s="26" t="str">
        <x:v>Total Accomplished</x:v>
      </x:c>
      <x:c r="B9" s="26" t="str"/>
      <x:c r="C9" s="26" t="str"/>
      <x:c r="D9" s="26" t="str"/>
      <x:c r="E9" s="27" t="n">
        <x:f>SUM(E8:E8)</x:f>
        <x:v>0.016666666666666666</x:v>
      </x:c>
      <x:c r="F9" s="27" t="str"/>
      <x:c r="G9" s="27" t="n">
        <x:f>SUMIF(G8:G8, TRUE, E8:E8)</x:f>
        <x:v>0</x:v>
      </x:c>
      <x:c r="H9" s="26" t="str"/>
    </x:row>
    <x:row r="11">
      <x:c r="A11" s="4" t="str">
        <x:v>Task ID</x:v>
      </x:c>
      <x:c r="B11" s="4" t="str">
        <x:v>MS-03</x:v>
      </x:c>
      <x:c r="C11" s="4" t="str">
        <x:v>Task Name</x:v>
      </x:c>
      <x:c r="D11" s="4" t="str">
        <x:v>Add ClickUp tool discussion in Chapter 2</x:v>
      </x:c>
      <x:c r="E11" s="4" t="str"/>
      <x:c r="F11" s="4" t="str">
        <x:v>for qa / internal testing</x:v>
      </x:c>
      <x:c r="G11" s="4" t="str"/>
      <x:c r="H11" s="4" t="str">
        <x:v>https://app.clickup.com/t/86d391rag</x:v>
      </x:c>
    </x:row>
    <x:row r="12">
      <x:c r="A12" s="8" t="str">
        <x:v>Subtask ID</x:v>
      </x:c>
      <x:c r="B12" s="8" t="str">
        <x:v>Subtask / Task Name</x:v>
      </x:c>
      <x:c r="C12" s="8" t="str">
        <x:v>Acceptance Criteria</x:v>
      </x:c>
      <x:c r="D12" s="8" t="str">
        <x:v>Evidence / Deliverable</x:v>
      </x:c>
      <x:c r="E12" s="8" t="str">
        <x:v>Weight Allocation</x:v>
      </x:c>
      <x:c r="F12" s="8" t="str">
        <x:v>ClickUp Status</x:v>
      </x:c>
      <x:c r="G12" s="8" t="str">
        <x:v>Accepted</x:v>
      </x:c>
      <x:c r="H12" s="8" t="str">
        <x:v>ClickUp URL</x:v>
      </x:c>
    </x:row>
    <x:row r="13">
      <x:c r="A13" s="16" t="str">
        <x:v>MS-03</x:v>
      </x:c>
      <x:c r="B13" s="16" t="str">
        <x:v>Add ClickUp tool discussion in Chapter 2</x:v>
      </x:c>
      <x:c r="C13" s="16" t="str">
        <x:v>Given the PAULUS Add ClickUp tool discussion in Chapter 2 task is implemented, the feature should meet the approved capstone requirements and pass review against its expected behavior.</x:v>
      </x:c>
      <x:c r="D13" s="16" t="str">
        <x:v>ClickUp task evidence, implementation output, QA notes, screenshots, tests, or manuscript updates for Add ClickUp tool discussion in Chapter 2.</x:v>
      </x:c>
      <x:c r="E13" s="18" t="n">
        <x:v>0.016666666666666666</x:v>
      </x:c>
      <x:c r="F13" s="16" t="str">
        <x:v>for qa / internal testing</x:v>
      </x:c>
      <x:c r="G13" s="17" t="b">
        <x:v>0</x:v>
      </x:c>
      <x:c r="H13" s="16" t="str">
        <x:v>https://app.clickup.com/t/86d391rag</x:v>
      </x:c>
    </x:row>
    <x:row r="14">
      <x:c r="A14" s="26" t="str">
        <x:v>Total Accomplished</x:v>
      </x:c>
      <x:c r="B14" s="26" t="str"/>
      <x:c r="C14" s="26" t="str"/>
      <x:c r="D14" s="26" t="str"/>
      <x:c r="E14" s="27" t="n">
        <x:f>SUM(E13:E13)</x:f>
        <x:v>0.016666666666666666</x:v>
      </x:c>
      <x:c r="F14" s="27" t="str"/>
      <x:c r="G14" s="27" t="n">
        <x:f>SUMIF(G13:G13, TRUE, E13:E13)</x:f>
        <x:v>0</x:v>
      </x:c>
      <x:c r="H14" s="26" t="str"/>
    </x:row>
    <x:row r="16">
      <x:c r="A16" s="4" t="str">
        <x:v>Task ID</x:v>
      </x:c>
      <x:c r="B16" s="4" t="str">
        <x:v>MS-04</x:v>
      </x:c>
      <x:c r="C16" s="4" t="str">
        <x:v>Task Name</x:v>
      </x:c>
      <x:c r="D16" s="4" t="str">
        <x:v>Draft Chapter 4 results and testing discussion</x:v>
      </x:c>
      <x:c r="E16" s="4" t="str"/>
      <x:c r="F16" s="4" t="str">
        <x:v>planning/backlog</x:v>
      </x:c>
      <x:c r="G16" s="4" t="str"/>
      <x:c r="H16" s="4" t="str">
        <x:v>https://app.clickup.com/t/86d3921qu</x:v>
      </x:c>
    </x:row>
    <x:row r="17">
      <x:c r="A17" s="8" t="str">
        <x:v>Subtask ID</x:v>
      </x:c>
      <x:c r="B17" s="8" t="str">
        <x:v>Subtask / Task Name</x:v>
      </x:c>
      <x:c r="C17" s="8" t="str">
        <x:v>Acceptance Criteria</x:v>
      </x:c>
      <x:c r="D17" s="8" t="str">
        <x:v>Evidence / Deliverable</x:v>
      </x:c>
      <x:c r="E17" s="8" t="str">
        <x:v>Weight Allocation</x:v>
      </x:c>
      <x:c r="F17" s="8" t="str">
        <x:v>ClickUp Status</x:v>
      </x:c>
      <x:c r="G17" s="8" t="str">
        <x:v>Accepted</x:v>
      </x:c>
      <x:c r="H17" s="8" t="str">
        <x:v>ClickUp URL</x:v>
      </x:c>
    </x:row>
    <x:row r="18">
      <x:c r="A18" s="16" t="str">
        <x:v>MS-04</x:v>
      </x:c>
      <x:c r="B18" s="16" t="str">
        <x:v>Draft Chapter 4 results and testing discussion</x:v>
      </x:c>
      <x:c r="C18" s="16" t="str">
        <x:v>Given the PAULUS Draft Chapter 4 results and testing discussion task is implemented, the feature should meet the approved capstone requirements and pass review against its expected behavior.</x:v>
      </x:c>
      <x:c r="D18" s="16" t="str">
        <x:v>ClickUp task evidence, implementation output, QA notes, screenshots, tests, or manuscript updates for Draft Chapter 4 results and testing discussion.</x:v>
      </x:c>
      <x:c r="E18" s="18" t="n">
        <x:v>0.016666666666666666</x:v>
      </x:c>
      <x:c r="F18" s="16" t="str">
        <x:v>planning/backlog</x:v>
      </x:c>
      <x:c r="G18" s="17" t="b">
        <x:v>0</x:v>
      </x:c>
      <x:c r="H18" s="16" t="str">
        <x:v>https://app.clickup.com/t/86d3921qu</x:v>
      </x:c>
    </x:row>
    <x:row r="19">
      <x:c r="A19" s="26" t="str">
        <x:v>Total Accomplished</x:v>
      </x:c>
      <x:c r="B19" s="26" t="str"/>
      <x:c r="C19" s="26" t="str"/>
      <x:c r="D19" s="26" t="str"/>
      <x:c r="E19" s="27" t="n">
        <x:f>SUM(E18:E18)</x:f>
        <x:v>0.016666666666666666</x:v>
      </x:c>
      <x:c r="F19" s="27" t="str"/>
      <x:c r="G19" s="27" t="n">
        <x:f>SUMIF(G18:G18, TRUE, E18:E18)</x:f>
        <x:v>0</x:v>
      </x:c>
      <x:c r="H19" s="26" t="str"/>
    </x:row>
    <x:row r="21">
      <x:c r="A21" s="4" t="str">
        <x:v>Task ID</x:v>
      </x:c>
      <x:c r="B21" s="4" t="str">
        <x:v>MS-05</x:v>
      </x:c>
      <x:c r="C21" s="4" t="str">
        <x:v>Task Name</x:v>
      </x:c>
      <x:c r="D21" s="4" t="str">
        <x:v>Draft Chapter 5 conclusions and recommendations</x:v>
      </x:c>
      <x:c r="E21" s="4" t="str"/>
      <x:c r="F21" s="4" t="str">
        <x:v>planning/backlog</x:v>
      </x:c>
      <x:c r="G21" s="4" t="str"/>
      <x:c r="H21" s="4" t="str">
        <x:v>https://app.clickup.com/t/86d3921r5</x:v>
      </x:c>
    </x:row>
    <x:row r="22">
      <x:c r="A22" s="8" t="str">
        <x:v>Subtask ID</x:v>
      </x:c>
      <x:c r="B22" s="8" t="str">
        <x:v>Subtask / Task Name</x:v>
      </x:c>
      <x:c r="C22" s="8" t="str">
        <x:v>Acceptance Criteria</x:v>
      </x:c>
      <x:c r="D22" s="8" t="str">
        <x:v>Evidence / Deliverable</x:v>
      </x:c>
      <x:c r="E22" s="8" t="str">
        <x:v>Weight Allocation</x:v>
      </x:c>
      <x:c r="F22" s="8" t="str">
        <x:v>ClickUp Status</x:v>
      </x:c>
      <x:c r="G22" s="8" t="str">
        <x:v>Accepted</x:v>
      </x:c>
      <x:c r="H22" s="8" t="str">
        <x:v>ClickUp URL</x:v>
      </x:c>
    </x:row>
    <x:row r="23">
      <x:c r="A23" s="16" t="str">
        <x:v>MS-05</x:v>
      </x:c>
      <x:c r="B23" s="16" t="str">
        <x:v>Draft Chapter 5 conclusions and recommendations</x:v>
      </x:c>
      <x:c r="C23" s="16" t="str">
        <x:v>Given the PAULUS Draft Chapter 5 conclusions and recommendations task is implemented, the feature should meet the approved capstone requirements and pass review against its expected behavior.</x:v>
      </x:c>
      <x:c r="D23" s="16" t="str">
        <x:v>ClickUp task evidence, implementation output, QA notes, screenshots, tests, or manuscript updates for Draft Chapter 5 conclusions and recommendations.</x:v>
      </x:c>
      <x:c r="E23" s="18" t="n">
        <x:v>0.016666666666666666</x:v>
      </x:c>
      <x:c r="F23" s="16" t="str">
        <x:v>planning/backlog</x:v>
      </x:c>
      <x:c r="G23" s="17" t="b">
        <x:v>0</x:v>
      </x:c>
      <x:c r="H23" s="16" t="str">
        <x:v>https://app.clickup.com/t/86d3921r5</x:v>
      </x:c>
    </x:row>
    <x:row r="24">
      <x:c r="A24" s="26" t="str">
        <x:v>Total Accomplished</x:v>
      </x:c>
      <x:c r="B24" s="26" t="str"/>
      <x:c r="C24" s="26" t="str"/>
      <x:c r="D24" s="26" t="str"/>
      <x:c r="E24" s="27" t="n">
        <x:f>SUM(E23:E23)</x:f>
        <x:v>0.016666666666666666</x:v>
      </x:c>
      <x:c r="F24" s="27" t="str"/>
      <x:c r="G24" s="27" t="n">
        <x:f>SUMIF(G23:G23, TRUE, E23:E23)</x:f>
        <x:v>0</x:v>
      </x:c>
      <x:c r="H24" s="26" t="str"/>
    </x:row>
    <x:row r="26">
      <x:c r="A26" s="4" t="str">
        <x:v>Task ID</x:v>
      </x:c>
      <x:c r="B26" s="4" t="str">
        <x:v>MS-06</x:v>
      </x:c>
      <x:c r="C26" s="4" t="str">
        <x:v>Task Name</x:v>
      </x:c>
      <x:c r="D26" s="4" t="str">
        <x:v>Compile appendix materials and supporting evidence</x:v>
      </x:c>
      <x:c r="E26" s="4" t="str"/>
      <x:c r="F26" s="4" t="str">
        <x:v>planning/backlog</x:v>
      </x:c>
      <x:c r="G26" s="4" t="str"/>
      <x:c r="H26" s="4" t="str">
        <x:v>https://app.clickup.com/t/86d3921ru</x:v>
      </x:c>
    </x:row>
    <x:row r="27">
      <x:c r="A27" s="8" t="str">
        <x:v>Subtask ID</x:v>
      </x:c>
      <x:c r="B27" s="8" t="str">
        <x:v>Subtask / Task Name</x:v>
      </x:c>
      <x:c r="C27" s="8" t="str">
        <x:v>Acceptance Criteria</x:v>
      </x:c>
      <x:c r="D27" s="8" t="str">
        <x:v>Evidence / Deliverable</x:v>
      </x:c>
      <x:c r="E27" s="8" t="str">
        <x:v>Weight Allocation</x:v>
      </x:c>
      <x:c r="F27" s="8" t="str">
        <x:v>ClickUp Status</x:v>
      </x:c>
      <x:c r="G27" s="8" t="str">
        <x:v>Accepted</x:v>
      </x:c>
      <x:c r="H27" s="8" t="str">
        <x:v>ClickUp URL</x:v>
      </x:c>
    </x:row>
    <x:row r="28">
      <x:c r="A28" s="16" t="str">
        <x:v>MS-06</x:v>
      </x:c>
      <x:c r="B28" s="16" t="str">
        <x:v>Compile appendix materials and supporting evidence</x:v>
      </x:c>
      <x:c r="C28" s="16" t="str">
        <x:v>Given the PAULUS Compile appendix materials and supporting evidence task is implemented, the feature should meet the approved capstone requirements and pass review against its expected behavior.</x:v>
      </x:c>
      <x:c r="D28" s="16" t="str">
        <x:v>ClickUp task evidence, implementation output, QA notes, screenshots, tests, or manuscript updates for Compile appendix materials and supporting evidence.</x:v>
      </x:c>
      <x:c r="E28" s="18" t="n">
        <x:v>0.016666666666666666</x:v>
      </x:c>
      <x:c r="F28" s="16" t="str">
        <x:v>planning/backlog</x:v>
      </x:c>
      <x:c r="G28" s="17" t="b">
        <x:v>0</x:v>
      </x:c>
      <x:c r="H28" s="16" t="str">
        <x:v>https://app.clickup.com/t/86d3921ru</x:v>
      </x:c>
    </x:row>
    <x:row r="29">
      <x:c r="A29" s="26" t="str">
        <x:v>Total Accomplished</x:v>
      </x:c>
      <x:c r="B29" s="26" t="str"/>
      <x:c r="C29" s="26" t="str"/>
      <x:c r="D29" s="26" t="str"/>
      <x:c r="E29" s="27" t="n">
        <x:f>SUM(E28:E28)</x:f>
        <x:v>0.016666666666666666</x:v>
      </x:c>
      <x:c r="F29" s="27" t="str"/>
      <x:c r="G29" s="27" t="n">
        <x:f>SUMIF(G28:G28, TRUE, E28:E28)</x:f>
        <x:v>0</x:v>
      </x:c>
      <x:c r="H29" s="26" t="str"/>
    </x:row>
    <x:row r="32">
      <x:c r="A32" s="34" t="str">
        <x:v>Module Accomplishment</x:v>
      </x:c>
      <x:c r="B32" s="34" t="str">
        <x:v>MANUSCRIPT</x:v>
      </x:c>
      <x:c r="C32" s="34" t="str">
        <x:v>Manuscript and Documentation</x:v>
      </x:c>
      <x:c r="D32" s="34" t="str"/>
      <x:c r="E32" s="35" t="n">
        <x:v>0.1</x:v>
      </x:c>
      <x:c r="F32" s="35" t="str"/>
      <x:c r="G32" s="35" t="n">
        <x:f>SUM('MANUSCRIPT'!G4,'MANUSCRIPT'!G9,'MANUSCRIPT'!G14,'MANUSCRIPT'!G19,'MANUSCRIPT'!G24,'MANUSCRIPT'!G29)</x:f>
        <x:v>0</x:v>
      </x:c>
      <x:c r="H32" s="34" t="str"/>
    </x:row>
  </x:sheetData>
  <x:dataValidations count="6">
    <x:dataValidation type="list" sqref="G3">
      <x:formula1>"TRUE,FALSE"</x:formula1>
    </x:dataValidation>
    <x:dataValidation type="list" sqref="G8">
      <x:formula1>"TRUE,FALSE"</x:formula1>
    </x:dataValidation>
    <x:dataValidation type="list" sqref="G13">
      <x:formula1>"TRUE,FALSE"</x:formula1>
    </x:dataValidation>
    <x:dataValidation type="list" sqref="G18">
      <x:formula1>"TRUE,FALSE"</x:formula1>
    </x:dataValidation>
    <x:dataValidation type="list" sqref="G23">
      <x:formula1>"TRUE,FALSE"</x:formula1>
    </x:dataValidation>
    <x:dataValidation type="list" sqref="G28">
      <x:formula1>"TRUE,FALSE"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18.75" hidden="0" customWidth="1"/>
    <x:col min="3" max="3" width="26.25" hidden="0" customWidth="1"/>
    <x:col min="4" max="4" width="26.25" hidden="0" customWidth="1"/>
    <x:col min="5" max="5" width="26.25" hidden="0" customWidth="1"/>
    <x:col min="6" max="6" width="26.25" hidden="0" customWidth="1"/>
  </x:cols>
  <x:sheetData>
    <x:row r="2">
      <x:c r="B2" s="4" t="str">
        <x:v>PAULUS Acceptance Criteria Tracker</x:v>
      </x:c>
      <x:c r="C2" s="4" t="str"/>
      <x:c r="D2" s="4" t="str"/>
      <x:c r="E2" s="4" t="str"/>
      <x:c r="F2" s="4" t="str"/>
    </x:row>
    <x:row r="4">
      <x:c r="B4" s="16" t="str">
        <x:v>Source</x:v>
      </x:c>
      <x:c r="C4" s="16" t="str">
        <x:v>Built from ClickUp tasks under the PAULUS space fetched on 2026-06-15.</x:v>
      </x:c>
      <x:c r="D4" s="16" t="str"/>
      <x:c r="E4" s="16" t="str"/>
      <x:c r="F4" s="16" t="str"/>
    </x:row>
    <x:row r="5">
      <x:c r="B5" s="16" t="str">
        <x:v>Structure</x:v>
      </x:c>
      <x:c r="C5" s="16" t="str">
        <x:v>Workbook keeps the ClickUp module/task grouping and includes task URLs for traceability.</x:v>
      </x:c>
      <x:c r="D5" s="16" t="str"/>
      <x:c r="E5" s="16" t="str"/>
      <x:c r="F5" s="16" t="str"/>
    </x:row>
    <x:row r="6">
      <x:c r="B6" s="16" t="str">
        <x:v>Accepted</x:v>
      </x:c>
      <x:c r="C6" s="16" t="str">
        <x:v>Use the Accepted column to mark formal acceptance. ClickUp Status is preserved separately.</x:v>
      </x:c>
      <x:c r="D6" s="16" t="str"/>
      <x:c r="E6" s="16" t="str"/>
      <x:c r="F6" s="16" t="str"/>
    </x:row>
    <x:row r="7">
      <x:c r="B7" s="16" t="str">
        <x:v>Formula</x:v>
      </x:c>
      <x:c r="C7" s="16" t="str">
        <x:v>Actual accomplishment uses SUMIF over accepted TRUE values and task weight allocations.</x:v>
      </x:c>
      <x:c r="D7" s="16" t="str"/>
      <x:c r="E7" s="16" t="str"/>
      <x:c r="F7" s="16" t="str"/>
    </x:row>
    <x:row r="8">
      <x:c r="B8" s="16" t="str">
        <x:v>Google Sheets</x:v>
      </x:c>
      <x:c r="C8" s="16" t="str">
        <x:v>Formulas use SUM and SUMIF so they should import cleanly into Google Sheets.</x:v>
      </x:c>
      <x:c r="D8" s="16" t="str"/>
      <x:c r="E8" s="16" t="str"/>
      <x:c r="F8" s="16" t="str"/>
    </x:row>
  </x:sheetData>
  <x:mergeCells>
    <x:mergeCell ref="B2:F2"/>
  </x:mergeCells>
  <x:pageMargins left="0.7" right="0.7" top="0.75" bottom="0.75" header="0.3" footer="0.3"/>
</x:worksheet>
</file>